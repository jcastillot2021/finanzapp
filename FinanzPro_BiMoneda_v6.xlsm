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Listas" sheetId="1" state="hidden" r:id="rId1"/>
    <sheet name="Config" sheetId="2" state="visible" r:id="rId2"/>
    <sheet name="Transacciones" sheetId="3" state="visible" r:id="rId3"/>
    <sheet name="Presupuesto" sheetId="4" state="visible" r:id="rId4"/>
    <sheet name="Ahorro" sheetId="5" state="visible" r:id="rId5"/>
    <sheet name="Dashboard" sheetId="6" state="visible" r:id="rId6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IF(F4="","",Config!$C$4)</f>
        <v/>
      </c>
      <c r="H4" s="20">
        <f>IF(F4="","",IF(E4="PEN",F4,F4*G4))</f>
        <v/>
      </c>
      <c r="I4" s="21">
        <f>IF(F4="","",IF(E4="USD",F4,F4/G4))</f>
        <v/>
      </c>
      <c r="J4" s="22" t="str">
        <f>IF(B4="","",IF(B4="Ingreso","✅ Ingreso",IF(B4="Gasto","💸 Gasto",IF(B4="Ahorro","💰 Ahorro","📈 Inversión"))))</f>
        <v/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IF(F5="","",Config!$C$4)</f>
        <v/>
      </c>
      <c r="H5" s="20">
        <f>IF(F5="","",IF(E5="PEN",F5,F5*G5))</f>
        <v/>
      </c>
      <c r="I5" s="21">
        <f>IF(F5="","",IF(E5="USD",F5,F5/G5))</f>
        <v/>
      </c>
      <c r="J5" s="22" t="str">
        <f>IF(B5="","",IF(B5="Ingreso","✅ Ingreso",IF(B5="Gasto","💸 Gasto",IF(B5="Ahorro","💰 Ahorro","📈 Inversión"))))</f>
        <v/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IF(F6="","",Config!$C$4)</f>
        <v/>
      </c>
      <c r="H6" s="20">
        <f>IF(F6="","",IF(E6="PEN",F6,F6*G6))</f>
        <v/>
      </c>
      <c r="I6" s="21">
        <f>IF(F6="","",IF(E6="USD",F6,F6/G6))</f>
        <v/>
      </c>
      <c r="J6" s="22" t="str">
        <f>IF(B6="","",IF(B6="Ingreso","✅ Ingreso",IF(B6="Gasto","💸 Gasto",IF(B6="Ahorro","💰 Ahorro","📈 Inversión"))))</f>
        <v/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IF(F7="","",Config!$C$4)</f>
        <v/>
      </c>
      <c r="H7" s="20">
        <f>IF(F7="","",IF(E7="PEN",F7,F7*G7))</f>
        <v/>
      </c>
      <c r="I7" s="21">
        <f>IF(F7="","",IF(E7="USD",F7,F7/G7))</f>
        <v/>
      </c>
      <c r="J7" s="22" t="str">
        <f>IF(B7="","",IF(B7="Ingreso","✅ Ingreso",IF(B7="Gasto","💸 Gasto",IF(B7="Ahorro","💰 Ahorro","📈 Inversión"))))</f>
        <v/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IF(F8="","",Config!$C$4)</f>
        <v/>
      </c>
      <c r="H8" s="20">
        <f>IF(F8="","",IF(E8="PEN",F8,F8*G8))</f>
        <v/>
      </c>
      <c r="I8" s="21">
        <f>IF(F8="","",IF(E8="USD",F8,F8/G8))</f>
        <v/>
      </c>
      <c r="J8" s="22" t="str">
        <f>IF(B8="","",IF(B8="Ingreso","✅ Ingreso",IF(B8="Gasto","💸 Gasto",IF(B8="Ahorro","💰 Ahorro","📈 Inversión"))))</f>
        <v/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IF(F9="","",Config!$C$4)</f>
        <v/>
      </c>
      <c r="H9" s="20">
        <f>IF(F9="","",IF(E9="PEN",F9,F9*G9))</f>
        <v/>
      </c>
      <c r="I9" s="21">
        <f>IF(F9="","",IF(E9="USD",F9,F9/G9))</f>
        <v/>
      </c>
      <c r="J9" s="22" t="str">
        <f>IF(B9="","",IF(B9="Ingreso","✅ Ingreso",IF(B9="Gasto","💸 Gasto",IF(B9="Ahorro","💰 Ahorro","📈 Inversión"))))</f>
        <v/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IF(F10="","",Config!$C$4)</f>
        <v/>
      </c>
      <c r="H10" s="20">
        <f>IF(F10="","",IF(E10="PEN",F10,F10*G10))</f>
        <v/>
      </c>
      <c r="I10" s="21">
        <f>IF(F10="","",IF(E10="USD",F10,F10/G10))</f>
        <v/>
      </c>
      <c r="J10" s="22" t="str">
        <f>IF(B10="","",IF(B10="Ingreso","✅ Ingreso",IF(B10="Gasto","💸 Gasto",IF(B10="Ahorro","💰 Ahorro","📈 Inversión"))))</f>
        <v/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IF(F11="","",Config!$C$4)</f>
        <v/>
      </c>
      <c r="H11" s="20">
        <f>IF(F11="","",IF(E11="PEN",F11,F11*G11))</f>
        <v/>
      </c>
      <c r="I11" s="21">
        <f>IF(F11="","",IF(E11="USD",F11,F11/G11))</f>
        <v/>
      </c>
      <c r="J11" s="22" t="str">
        <f>IF(B11="","",IF(B11="Ingreso","✅ Ingreso",IF(B11="Gasto","💸 Gasto",IF(B11="Ahorro","💰 Ahorro","📈 Inversión"))))</f>
        <v/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IF(F12="","",Config!$C$4)</f>
        <v/>
      </c>
      <c r="H12" s="20">
        <f>IF(F12="","",IF(E12="PEN",F12,F12*G12))</f>
        <v/>
      </c>
      <c r="I12" s="21">
        <f>IF(F12="","",IF(E12="USD",F12,F12/G12))</f>
        <v/>
      </c>
      <c r="J12" s="22" t="str">
        <f>IF(B12="","",IF(B12="Ingreso","✅ Ingreso",IF(B12="Gasto","💸 Gasto",IF(B12="Ahorro","💰 Ahorro","📈 Inversión"))))</f>
        <v/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IF(F13="","",Config!$C$4)</f>
        <v/>
      </c>
      <c r="H13" s="20">
        <f>IF(F13="","",IF(E13="PEN",F13,F13*G13))</f>
        <v/>
      </c>
      <c r="I13" s="21">
        <f>IF(F13="","",IF(E13="USD",F13,F13/G13))</f>
        <v/>
      </c>
      <c r="J13" s="22" t="str">
        <f>IF(B13="","",IF(B13="Ingreso","✅ Ingreso",IF(B13="Gasto","💸 Gasto",IF(B13="Ahorro","💰 Ahorro","📈 Inversión"))))</f>
        <v/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IF(F14="","",Config!$C$4)</f>
        <v/>
      </c>
      <c r="H14" s="20">
        <f>IF(F14="","",IF(E14="PEN",F14,F14*G14))</f>
        <v/>
      </c>
      <c r="I14" s="21">
        <f>IF(F14="","",IF(E14="USD",F14,F14/G14))</f>
        <v/>
      </c>
      <c r="J14" s="22" t="str">
        <f>IF(B14="","",IF(B14="Ingreso","✅ Ingreso",IF(B14="Gasto","💸 Gasto",IF(B14="Ahorro","💰 Ahorro","📈 Inversión"))))</f>
        <v/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IF(F15="","",Config!$C$4)</f>
        <v/>
      </c>
      <c r="H15" s="20">
        <f>IF(F15="","",IF(E15="PEN",F15,F15*G15))</f>
        <v/>
      </c>
      <c r="I15" s="21">
        <f>IF(F15="","",IF(E15="USD",F15,F15/G15))</f>
        <v/>
      </c>
      <c r="J15" s="22" t="str">
        <f>IF(B15="","",IF(B15="Ingreso","✅ Ingreso",IF(B15="Gasto","💸 Gasto",IF(B15="Ahorro","💰 Ahorro","📈 Inversión"))))</f>
        <v/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IF(F16="","",Config!$C$4)</f>
        <v/>
      </c>
      <c r="H16" s="20">
        <f>IF(F16="","",IF(E16="PEN",F16,F16*G16))</f>
        <v/>
      </c>
      <c r="I16" s="21">
        <f>IF(F16="","",IF(E16="USD",F16,F16/G16))</f>
        <v/>
      </c>
      <c r="J16" s="22" t="str">
        <f>IF(B16="","",IF(B16="Ingreso","✅ Ingreso",IF(B16="Gasto","💸 Gasto",IF(B16="Ahorro","💰 Ahorro","📈 Inversión"))))</f>
        <v/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IF(F17="","",Config!$C$4)</f>
        <v/>
      </c>
      <c r="H17" s="20">
        <f>IF(F17="","",IF(E17="PEN",F17,F17*G17))</f>
        <v/>
      </c>
      <c r="I17" s="21">
        <f>IF(F17="","",IF(E17="USD",F17,F17/G17))</f>
        <v/>
      </c>
      <c r="J17" s="22" t="str">
        <f>IF(B17="","",IF(B17="Ingreso","✅ Ingreso",IF(B17="Gasto","💸 Gasto",IF(B17="Ahorro","💰 Ahorro","📈 Inversión"))))</f>
        <v/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IF(F18="","",Config!$C$4)</f>
        <v/>
      </c>
      <c r="H18" s="20">
        <f>IF(F18="","",IF(E18="PEN",F18,F18*G18))</f>
        <v/>
      </c>
      <c r="I18" s="21">
        <f>IF(F18="","",IF(E18="USD",F18,F18/G18))</f>
        <v/>
      </c>
      <c r="J18" s="22" t="str">
        <f>IF(B18="","",IF(B18="Ingreso","✅ Ingreso",IF(B18="Gasto","💸 Gasto",IF(B18="Ahorro","💰 Ahorro","📈 Inversión"))))</f>
        <v/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IF(F19="","",Config!$C$4)</f>
        <v/>
      </c>
      <c r="H19" s="20">
        <f>IF(F19="","",IF(E19="PEN",F19,F19*G19))</f>
        <v/>
      </c>
      <c r="I19" s="21">
        <f>IF(F19="","",IF(E19="USD",F19,F19/G19))</f>
        <v/>
      </c>
      <c r="J19" s="22" t="str">
        <f>IF(B19="","",IF(B19="Ingreso","✅ Ingreso",IF(B19="Gasto","💸 Gasto",IF(B19="Ahorro","💰 Ahorro","📈 Inversión"))))</f>
        <v/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IF(F20="","",Config!$C$4)</f>
        <v/>
      </c>
      <c r="H20" s="20">
        <f>IF(F20="","",IF(E20="PEN",F20,F20*G20))</f>
        <v/>
      </c>
      <c r="I20" s="21">
        <f>IF(F20="","",IF(E20="USD",F20,F20/G20))</f>
        <v/>
      </c>
      <c r="J20" s="22" t="str">
        <f>IF(B20="","",IF(B20="Ingreso","✅ Ingreso",IF(B20="Gasto","💸 Gasto",IF(B20="Ahorro","💰 Ahorro","📈 Inversión"))))</f>
        <v/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IF(F21="","",Config!$C$4)</f>
        <v/>
      </c>
      <c r="H21" s="20">
        <f>IF(F21="","",IF(E21="PEN",F21,F21*G21))</f>
        <v/>
      </c>
      <c r="I21" s="21">
        <f>IF(F21="","",IF(E21="USD",F21,F21/G21))</f>
        <v/>
      </c>
      <c r="J21" s="22" t="str">
        <f>IF(B21="","",IF(B21="Ingreso","✅ Ingreso",IF(B21="Gasto","💸 Gasto",IF(B21="Ahorro","💰 Ahorro","📈 Inversión"))))</f>
        <v/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IF(F22="","",Config!$C$4)</f>
        <v/>
      </c>
      <c r="H22" s="20">
        <f>IF(F22="","",IF(E22="PEN",F22,F22*G22))</f>
        <v/>
      </c>
      <c r="I22" s="21">
        <f>IF(F22="","",IF(E22="USD",F22,F22/G22))</f>
        <v/>
      </c>
      <c r="J22" s="22" t="str">
        <f>IF(B22="","",IF(B22="Ingreso","✅ Ingreso",IF(B22="Gasto","💸 Gasto",IF(B22="Ahorro","💰 Ahorro","📈 Inversión"))))</f>
        <v/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IF(F23="","",Config!$C$4)</f>
        <v/>
      </c>
      <c r="H23" s="20">
        <f>IF(F23="","",IF(E23="PEN",F23,F23*G23))</f>
        <v/>
      </c>
      <c r="I23" s="21">
        <f>IF(F23="","",IF(E23="USD",F23,F23/G23))</f>
        <v/>
      </c>
      <c r="J23" s="22" t="str">
        <f>IF(B23="","",IF(B23="Ingreso","✅ Ingreso",IF(B23="Gasto","💸 Gasto",IF(B23="Ahorro","💰 Ahorro","📈 Inversión"))))</f>
        <v/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IF(F24="","",Config!$C$4)</f>
        <v/>
      </c>
      <c r="H24" s="20">
        <f>IF(F24="","",IF(E24="PEN",F24,F24*G24))</f>
        <v/>
      </c>
      <c r="I24" s="21">
        <f>IF(F24="","",IF(E24="USD",F24,F24/G24))</f>
        <v/>
      </c>
      <c r="J24" s="22" t="str">
        <f>IF(B24="","",IF(B24="Ingreso","✅ Ingreso",IF(B24="Gasto","💸 Gasto",IF(B24="Ahorro","💰 Ahorro","📈 Inversión"))))</f>
        <v/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IF(F25="","",Config!$C$4)</f>
        <v/>
      </c>
      <c r="H25" s="20">
        <f>IF(F25="","",IF(E25="PEN",F25,F25*G25))</f>
        <v/>
      </c>
      <c r="I25" s="21">
        <f>IF(F25="","",IF(E25="USD",F25,F25/G25))</f>
        <v/>
      </c>
      <c r="J25" s="22" t="str">
        <f>IF(B25="","",IF(B25="Ingreso","✅ Ingreso",IF(B25="Gasto","💸 Gasto",IF(B25="Ahorro","💰 Ahorro","📈 Inversión"))))</f>
        <v/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IF(F26="","",Config!$C$4)</f>
        <v/>
      </c>
      <c r="H26" s="20">
        <f>IF(F26="","",IF(E26="PEN",F26,F26*G26))</f>
        <v/>
      </c>
      <c r="I26" s="21">
        <f>IF(F26="","",IF(E26="USD",F26,F26/G26))</f>
        <v/>
      </c>
      <c r="J26" s="22" t="str">
        <f>IF(B26="","",IF(B26="Ingreso","✅ Ingreso",IF(B26="Gasto","💸 Gasto",IF(B26="Ahorro","💰 Ahorro","📈 Inversión"))))</f>
        <v/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IF(F27="","",Config!$C$4)</f>
        <v/>
      </c>
      <c r="H27" s="20">
        <f>IF(F27="","",IF(E27="PEN",F27,F27*G27))</f>
        <v/>
      </c>
      <c r="I27" s="21">
        <f>IF(F27="","",IF(E27="USD",F27,F27/G27))</f>
        <v/>
      </c>
      <c r="J27" s="22" t="str">
        <f>IF(B27="","",IF(B27="Ingreso","✅ Ingreso",IF(B27="Gasto","💸 Gasto",IF(B27="Ahorro","💰 Ahorro","📈 Inversión"))))</f>
        <v/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IF(F28="","",Config!$C$4)</f>
        <v/>
      </c>
      <c r="H28" s="20">
        <f>IF(F28="","",IF(E28="PEN",F28,F28*G28))</f>
        <v/>
      </c>
      <c r="I28" s="21">
        <f>IF(F28="","",IF(E28="USD",F28,F28/G28))</f>
        <v/>
      </c>
      <c r="J28" s="22" t="str">
        <f>IF(B28="","",IF(B28="Ingreso","✅ Ingreso",IF(B28="Gasto","💸 Gasto",IF(B28="Ahorro","💰 Ahorro","📈 Inversión"))))</f>
        <v/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IF(F29="","",Config!$C$4)</f>
        <v/>
      </c>
      <c r="H29" s="20">
        <f>IF(F29="","",IF(E29="PEN",F29,F29*G29))</f>
        <v/>
      </c>
      <c r="I29" s="21">
        <f>IF(F29="","",IF(E29="USD",F29,F29/G29))</f>
        <v/>
      </c>
      <c r="J29" s="22" t="str">
        <f>IF(B29="","",IF(B29="Ingreso","✅ Ingreso",IF(B29="Gasto","💸 Gasto",IF(B29="Ahorro","💰 Ahorro","📈 Inversión"))))</f>
        <v/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IF(F30="","",Config!$C$4)</f>
        <v/>
      </c>
      <c r="H30" s="20">
        <f>IF(F30="","",IF(E30="PEN",F30,F30*G30))</f>
        <v/>
      </c>
      <c r="I30" s="21">
        <f>IF(F30="","",IF(E30="USD",F30,F30/G30))</f>
        <v/>
      </c>
      <c r="J30" s="22" t="str">
        <f>IF(B30="","",IF(B30="Ingreso","✅ Ingreso",IF(B30="Gasto","💸 Gasto",IF(B30="Ahorro","💰 Ahorro","📈 Inversión"))))</f>
        <v/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IF(F31="","",Config!$C$4)</f>
        <v/>
      </c>
      <c r="H31" s="20">
        <f>IF(F31="","",IF(E31="PEN",F31,F31*G31))</f>
        <v/>
      </c>
      <c r="I31" s="21">
        <f>IF(F31="","",IF(E31="USD",F31,F31/G31))</f>
        <v/>
      </c>
      <c r="J31" s="22" t="str">
        <f>IF(B31="","",IF(B31="Ingreso","✅ Ingreso",IF(B31="Gasto","💸 Gasto",IF(B31="Ahorro","💰 Ahorro","📈 Inversión"))))</f>
        <v/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IF(F32="","",Config!$C$4)</f>
        <v/>
      </c>
      <c r="H32" s="20">
        <f>IF(F32="","",IF(E32="PEN",F32,F32*G32))</f>
        <v/>
      </c>
      <c r="I32" s="21">
        <f>IF(F32="","",IF(E32="USD",F32,F32/G32))</f>
        <v/>
      </c>
      <c r="J32" s="22" t="str">
        <f>IF(B32="","",IF(B32="Ingreso","✅ Ingreso",IF(B32="Gasto","💸 Gasto",IF(B32="Ahorro","💰 Ahorro","📈 Inversión"))))</f>
        <v/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IF(F33="","",Config!$C$4)</f>
        <v/>
      </c>
      <c r="H33" s="20">
        <f>IF(F33="","",IF(E33="PEN",F33,F33*G33))</f>
        <v/>
      </c>
      <c r="I33" s="21">
        <f>IF(F33="","",IF(E33="USD",F33,F33/G33))</f>
        <v/>
      </c>
      <c r="J33" s="22" t="str">
        <f>IF(B33="","",IF(B33="Ingreso","✅ Ingreso",IF(B33="Gasto","💸 Gasto",IF(B33="Ahorro","💰 Ahorro","📈 Inversión"))))</f>
        <v/>
      </c>
    </row>
    <row r="35" ht="20" customHeight="1">
      <c r="A35" s="34" t="inlineStr">
        <is>
          <t>➕  Agrega nuevas transacciones aquí abajo  ·  Los dropdowns y fórmulas están listos hasta la fila 500</t>
        </is>
      </c>
    </row>
    <row r="34" ht="18" customHeight="1">
      <c r="G34" s="19">
        <f>IF(F34="","",Config!$C$4)</f>
        <v/>
      </c>
      <c r="H34" s="20">
        <f>IF(F34="","",IF(E34="PEN",F34,F34*G34))</f>
        <v/>
      </c>
      <c r="I34" s="21">
        <f>IF(F34="","",IF(E34="USD",F34,F34/G34))</f>
        <v/>
      </c>
      <c r="J34" s="22" t="str">
        <f>IF(B34="","",IF(B34="Ingreso","✅ Ingreso",IF(B34="Gasto","💸 Gasto",IF(B34="Ahorro","💰 Ahorro","📈 Inversión"))))</f>
        <v/>
      </c>
    </row>
    <row r="35" ht="18" customHeight="1">
      <c r="G35" s="19">
        <f>IF(F35="","",Config!$C$4)</f>
        <v/>
      </c>
      <c r="H35" s="20">
        <f>IF(F35="","",IF(E35="PEN",F35,F35*G35))</f>
        <v/>
      </c>
      <c r="I35" s="21">
        <f>IF(F35="","",IF(E35="USD",F35,F35/G35))</f>
        <v/>
      </c>
      <c r="J35" s="22" t="str">
        <f>IF(B35="","",IF(B35="Ingreso","✅ Ingreso",IF(B35="Gasto","💸 Gasto",IF(B35="Ahorro","💰 Ahorro","📈 Inversión"))))</f>
        <v/>
      </c>
    </row>
    <row r="36" ht="18" customHeight="1">
      <c r="G36" s="19">
        <f>IF(F36="","",Config!$C$4)</f>
        <v/>
      </c>
      <c r="H36" s="20">
        <f>IF(F36="","",IF(E36="PEN",F36,F36*G36))</f>
        <v/>
      </c>
      <c r="I36" s="21">
        <f>IF(F36="","",IF(E36="USD",F36,F36/G36))</f>
        <v/>
      </c>
      <c r="J36" s="22" t="str">
        <f>IF(B36="","",IF(B36="Ingreso","✅ Ingreso",IF(B36="Gasto","💸 Gasto",IF(B36="Ahorro","💰 Ahorro","📈 Inversión"))))</f>
        <v/>
      </c>
    </row>
    <row r="37" ht="18" customHeight="1">
      <c r="G37" s="19">
        <f>IF(F37="","",Config!$C$4)</f>
        <v/>
      </c>
      <c r="H37" s="20">
        <f>IF(F37="","",IF(E37="PEN",F37,F37*G37))</f>
        <v/>
      </c>
      <c r="I37" s="21">
        <f>IF(F37="","",IF(E37="USD",F37,F37/G37))</f>
        <v/>
      </c>
      <c r="J37" s="22" t="str">
        <f>IF(B37="","",IF(B37="Ingreso","✅ Ingreso",IF(B37="Gasto","💸 Gasto",IF(B37="Ahorro","💰 Ahorro","📈 Inversión"))))</f>
        <v/>
      </c>
    </row>
    <row r="38" ht="18" customHeight="1">
      <c r="G38" s="19">
        <f>IF(F38="","",Config!$C$4)</f>
        <v/>
      </c>
      <c r="H38" s="20">
        <f>IF(F38="","",IF(E38="PEN",F38,F38*G38))</f>
        <v/>
      </c>
      <c r="I38" s="21">
        <f>IF(F38="","",IF(E38="USD",F38,F38/G38))</f>
        <v/>
      </c>
      <c r="J38" s="22" t="str">
        <f>IF(B38="","",IF(B38="Ingreso","✅ Ingreso",IF(B38="Gasto","💸 Gasto",IF(B38="Ahorro","💰 Ahorro","📈 Inversión"))))</f>
        <v/>
      </c>
    </row>
    <row r="39" ht="18" customHeight="1">
      <c r="G39" s="19">
        <f>IF(F39="","",Config!$C$4)</f>
        <v/>
      </c>
      <c r="H39" s="20">
        <f>IF(F39="","",IF(E39="PEN",F39,F39*G39))</f>
        <v/>
      </c>
      <c r="I39" s="21">
        <f>IF(F39="","",IF(E39="USD",F39,F39/G39))</f>
        <v/>
      </c>
      <c r="J39" s="22" t="str">
        <f>IF(B39="","",IF(B39="Ingreso","✅ Ingreso",IF(B39="Gasto","💸 Gasto",IF(B39="Ahorro","💰 Ahorro","📈 Inversión"))))</f>
        <v/>
      </c>
    </row>
    <row r="40" ht="18" customHeight="1">
      <c r="G40" s="19">
        <f>IF(F40="","",Config!$C$4)</f>
        <v/>
      </c>
      <c r="H40" s="20">
        <f>IF(F40="","",IF(E40="PEN",F40,F40*G40))</f>
        <v/>
      </c>
      <c r="I40" s="21">
        <f>IF(F40="","",IF(E40="USD",F40,F40/G40))</f>
        <v/>
      </c>
      <c r="J40" s="22" t="str">
        <f>IF(B40="","",IF(B40="Ingreso","✅ Ingreso",IF(B40="Gasto","💸 Gasto",IF(B40="Ahorro","💰 Ahorro","📈 Inversión"))))</f>
        <v/>
      </c>
    </row>
    <row r="41" ht="18" customHeight="1">
      <c r="G41" s="19">
        <f>IF(F41="","",Config!$C$4)</f>
        <v/>
      </c>
      <c r="H41" s="20">
        <f>IF(F41="","",IF(E41="PEN",F41,F41*G41))</f>
        <v/>
      </c>
      <c r="I41" s="21">
        <f>IF(F41="","",IF(E41="USD",F41,F41/G41))</f>
        <v/>
      </c>
      <c r="J41" s="22" t="str">
        <f>IF(B41="","",IF(B41="Ingreso","✅ Ingreso",IF(B41="Gasto","💸 Gasto",IF(B41="Ahorro","💰 Ahorro","📈 Inversión"))))</f>
        <v/>
      </c>
    </row>
    <row r="42" ht="18" customHeight="1">
      <c r="G42" s="19">
        <f>IF(F42="","",Config!$C$4)</f>
        <v/>
      </c>
      <c r="H42" s="20">
        <f>IF(F42="","",IF(E42="PEN",F42,F42*G42))</f>
        <v/>
      </c>
      <c r="I42" s="21">
        <f>IF(F42="","",IF(E42="USD",F42,F42/G42))</f>
        <v/>
      </c>
      <c r="J42" s="22" t="str">
        <f>IF(B42="","",IF(B42="Ingreso","✅ Ingreso",IF(B42="Gasto","💸 Gasto",IF(B42="Ahorro","💰 Ahorro","📈 Inversión"))))</f>
        <v/>
      </c>
    </row>
    <row r="43" ht="18" customHeight="1">
      <c r="G43" s="19">
        <f>IF(F43="","",Config!$C$4)</f>
        <v/>
      </c>
      <c r="H43" s="20">
        <f>IF(F43="","",IF(E43="PEN",F43,F43*G43))</f>
        <v/>
      </c>
      <c r="I43" s="21">
        <f>IF(F43="","",IF(E43="USD",F43,F43/G43))</f>
        <v/>
      </c>
      <c r="J43" s="22" t="str">
        <f>IF(B43="","",IF(B43="Ingreso","✅ Ingreso",IF(B43="Gasto","💸 Gasto",IF(B43="Ahorro","💰 Ahorro","📈 Inversión"))))</f>
        <v/>
      </c>
    </row>
    <row r="44" ht="18" customHeight="1">
      <c r="G44" s="19">
        <f>IF(F44="","",Config!$C$4)</f>
        <v/>
      </c>
      <c r="H44" s="20">
        <f>IF(F44="","",IF(E44="PEN",F44,F44*G44))</f>
        <v/>
      </c>
      <c r="I44" s="21">
        <f>IF(F44="","",IF(E44="USD",F44,F44/G44))</f>
        <v/>
      </c>
      <c r="J44" s="22" t="str">
        <f>IF(B44="","",IF(B44="Ingreso","✅ Ingreso",IF(B44="Gasto","💸 Gasto",IF(B44="Ahorro","💰 Ahorro","📈 Inversión"))))</f>
        <v/>
      </c>
    </row>
    <row r="45" ht="18" customHeight="1">
      <c r="G45" s="19">
        <f>IF(F45="","",Config!$C$4)</f>
        <v/>
      </c>
      <c r="H45" s="20">
        <f>IF(F45="","",IF(E45="PEN",F45,F45*G45))</f>
        <v/>
      </c>
      <c r="I45" s="21">
        <f>IF(F45="","",IF(E45="USD",F45,F45/G45))</f>
        <v/>
      </c>
      <c r="J45" s="22" t="str">
        <f>IF(B45="","",IF(B45="Ingreso","✅ Ingreso",IF(B45="Gasto","💸 Gasto",IF(B45="Ahorro","💰 Ahorro","📈 Inversión"))))</f>
        <v/>
      </c>
    </row>
    <row r="46" ht="18" customHeight="1">
      <c r="G46" s="19">
        <f>IF(F46="","",Config!$C$4)</f>
        <v/>
      </c>
      <c r="H46" s="20">
        <f>IF(F46="","",IF(E46="PEN",F46,F46*G46))</f>
        <v/>
      </c>
      <c r="I46" s="21">
        <f>IF(F46="","",IF(E46="USD",F46,F46/G46))</f>
        <v/>
      </c>
      <c r="J46" s="22" t="str">
        <f>IF(B46="","",IF(B46="Ingreso","✅ Ingreso",IF(B46="Gasto","💸 Gasto",IF(B46="Ahorro","💰 Ahorro","📈 Inversión"))))</f>
        <v/>
      </c>
    </row>
    <row r="47" ht="18" customHeight="1">
      <c r="G47" s="19">
        <f>IF(F47="","",Config!$C$4)</f>
        <v/>
      </c>
      <c r="H47" s="20">
        <f>IF(F47="","",IF(E47="PEN",F47,F47*G47))</f>
        <v/>
      </c>
      <c r="I47" s="21">
        <f>IF(F47="","",IF(E47="USD",F47,F47/G47))</f>
        <v/>
      </c>
      <c r="J47" s="22" t="str">
        <f>IF(B47="","",IF(B47="Ingreso","✅ Ingreso",IF(B47="Gasto","💸 Gasto",IF(B47="Ahorro","💰 Ahorro","📈 Inversión"))))</f>
        <v/>
      </c>
    </row>
    <row r="48" ht="18" customHeight="1">
      <c r="G48" s="19">
        <f>IF(F48="","",Config!$C$4)</f>
        <v/>
      </c>
      <c r="H48" s="20">
        <f>IF(F48="","",IF(E48="PEN",F48,F48*G48))</f>
        <v/>
      </c>
      <c r="I48" s="21">
        <f>IF(F48="","",IF(E48="USD",F48,F48/G48))</f>
        <v/>
      </c>
      <c r="J48" s="22" t="str">
        <f>IF(B48="","",IF(B48="Ingreso","✅ Ingreso",IF(B48="Gasto","💸 Gasto",IF(B48="Ahorro","💰 Ahorro","📈 Inversión"))))</f>
        <v/>
      </c>
    </row>
    <row r="49" ht="18" customHeight="1">
      <c r="G49" s="19">
        <f>IF(F49="","",Config!$C$4)</f>
        <v/>
      </c>
      <c r="H49" s="20">
        <f>IF(F49="","",IF(E49="PEN",F49,F49*G49))</f>
        <v/>
      </c>
      <c r="I49" s="21">
        <f>IF(F49="","",IF(E49="USD",F49,F49/G49))</f>
        <v/>
      </c>
      <c r="J49" s="22" t="str">
        <f>IF(B49="","",IF(B49="Ingreso","✅ Ingreso",IF(B49="Gasto","💸 Gasto",IF(B49="Ahorro","💰 Ahorro","📈 Inversión"))))</f>
        <v/>
      </c>
    </row>
    <row r="50" ht="18" customHeight="1">
      <c r="G50" s="19">
        <f>IF(F50="","",Config!$C$4)</f>
        <v/>
      </c>
      <c r="H50" s="20">
        <f>IF(F50="","",IF(E50="PEN",F50,F50*G50))</f>
        <v/>
      </c>
      <c r="I50" s="21">
        <f>IF(F50="","",IF(E50="USD",F50,F50/G50))</f>
        <v/>
      </c>
      <c r="J50" s="22" t="str">
        <f>IF(B50="","",IF(B50="Ingreso","✅ Ingreso",IF(B50="Gasto","💸 Gasto",IF(B50="Ahorro","💰 Ahorro","📈 Inversión"))))</f>
        <v/>
      </c>
    </row>
    <row r="51" ht="18" customHeight="1">
      <c r="G51" s="19">
        <f>IF(F51="","",Config!$C$4)</f>
        <v/>
      </c>
      <c r="H51" s="20">
        <f>IF(F51="","",IF(E51="PEN",F51,F51*G51))</f>
        <v/>
      </c>
      <c r="I51" s="21">
        <f>IF(F51="","",IF(E51="USD",F51,F51/G51))</f>
        <v/>
      </c>
      <c r="J51" s="22" t="str">
        <f>IF(B51="","",IF(B51="Ingreso","✅ Ingreso",IF(B51="Gasto","💸 Gasto",IF(B51="Ahorro","💰 Ahorro","📈 Inversión"))))</f>
        <v/>
      </c>
    </row>
    <row r="52" ht="18" customHeight="1">
      <c r="G52" s="19">
        <f>IF(F52="","",Config!$C$4)</f>
        <v/>
      </c>
      <c r="H52" s="20">
        <f>IF(F52="","",IF(E52="PEN",F52,F52*G52))</f>
        <v/>
      </c>
      <c r="I52" s="21">
        <f>IF(F52="","",IF(E52="USD",F52,F52/G52))</f>
        <v/>
      </c>
      <c r="J52" s="22" t="str">
        <f>IF(B52="","",IF(B52="Ingreso","✅ Ingreso",IF(B52="Gasto","💸 Gasto",IF(B52="Ahorro","💰 Ahorro","📈 Inversión"))))</f>
        <v/>
      </c>
    </row>
    <row r="53" ht="18" customHeight="1">
      <c r="G53" s="19">
        <f>IF(F53="","",Config!$C$4)</f>
        <v/>
      </c>
      <c r="H53" s="20">
        <f>IF(F53="","",IF(E53="PEN",F53,F53*G53))</f>
        <v/>
      </c>
      <c r="I53" s="21">
        <f>IF(F53="","",IF(E53="USD",F53,F53/G53))</f>
        <v/>
      </c>
      <c r="J53" s="22" t="str">
        <f>IF(B53="","",IF(B53="Ingreso","✅ Ingreso",IF(B53="Gasto","💸 Gasto",IF(B53="Ahorro","💰 Ahorro","📈 Inversión"))))</f>
        <v/>
      </c>
    </row>
    <row r="54" ht="18" customHeight="1">
      <c r="G54" s="19">
        <f>IF(F54="","",Config!$C$4)</f>
        <v/>
      </c>
      <c r="H54" s="20">
        <f>IF(F54="","",IF(E54="PEN",F54,F54*G54))</f>
        <v/>
      </c>
      <c r="I54" s="21">
        <f>IF(F54="","",IF(E54="USD",F54,F54/G54))</f>
        <v/>
      </c>
      <c r="J54" s="22" t="str">
        <f>IF(B54="","",IF(B54="Ingreso","✅ Ingreso",IF(B54="Gasto","💸 Gasto",IF(B54="Ahorro","💰 Ahorro","📈 Inversión"))))</f>
        <v/>
      </c>
    </row>
    <row r="55" ht="18" customHeight="1">
      <c r="G55" s="19">
        <f>IF(F55="","",Config!$C$4)</f>
        <v/>
      </c>
      <c r="H55" s="20">
        <f>IF(F55="","",IF(E55="PEN",F55,F55*G55))</f>
        <v/>
      </c>
      <c r="I55" s="21">
        <f>IF(F55="","",IF(E55="USD",F55,F55/G55))</f>
        <v/>
      </c>
      <c r="J55" s="22" t="str">
        <f>IF(B55="","",IF(B55="Ingreso","✅ Ingreso",IF(B55="Gasto","💸 Gasto",IF(B55="Ahorro","💰 Ahorro","📈 Inversión"))))</f>
        <v/>
      </c>
    </row>
    <row r="56" ht="18" customHeight="1">
      <c r="G56" s="19">
        <f>IF(F56="","",Config!$C$4)</f>
        <v/>
      </c>
      <c r="H56" s="20">
        <f>IF(F56="","",IF(E56="PEN",F56,F56*G56))</f>
        <v/>
      </c>
      <c r="I56" s="21">
        <f>IF(F56="","",IF(E56="USD",F56,F56/G56))</f>
        <v/>
      </c>
      <c r="J56" s="22" t="str">
        <f>IF(B56="","",IF(B56="Ingreso","✅ Ingreso",IF(B56="Gasto","💸 Gasto",IF(B56="Ahorro","💰 Ahorro","📈 Inversión"))))</f>
        <v/>
      </c>
    </row>
    <row r="57" ht="18" customHeight="1">
      <c r="G57" s="19">
        <f>IF(F57="","",Config!$C$4)</f>
        <v/>
      </c>
      <c r="H57" s="20">
        <f>IF(F57="","",IF(E57="PEN",F57,F57*G57))</f>
        <v/>
      </c>
      <c r="I57" s="21">
        <f>IF(F57="","",IF(E57="USD",F57,F57/G57))</f>
        <v/>
      </c>
      <c r="J57" s="22" t="str">
        <f>IF(B57="","",IF(B57="Ingreso","✅ Ingreso",IF(B57="Gasto","💸 Gasto",IF(B57="Ahorro","💰 Ahorro","📈 Inversión"))))</f>
        <v/>
      </c>
    </row>
    <row r="58" ht="18" customHeight="1">
      <c r="G58" s="19">
        <f>IF(F58="","",Config!$C$4)</f>
        <v/>
      </c>
      <c r="H58" s="20">
        <f>IF(F58="","",IF(E58="PEN",F58,F58*G58))</f>
        <v/>
      </c>
      <c r="I58" s="21">
        <f>IF(F58="","",IF(E58="USD",F58,F58/G58))</f>
        <v/>
      </c>
      <c r="J58" s="22" t="str">
        <f>IF(B58="","",IF(B58="Ingreso","✅ Ingreso",IF(B58="Gasto","💸 Gasto",IF(B58="Ahorro","💰 Ahorro","📈 Inversión"))))</f>
        <v/>
      </c>
    </row>
    <row r="59" ht="18" customHeight="1">
      <c r="G59" s="19">
        <f>IF(F59="","",Config!$C$4)</f>
        <v/>
      </c>
      <c r="H59" s="20">
        <f>IF(F59="","",IF(E59="PEN",F59,F59*G59))</f>
        <v/>
      </c>
      <c r="I59" s="21">
        <f>IF(F59="","",IF(E59="USD",F59,F59/G59))</f>
        <v/>
      </c>
      <c r="J59" s="22" t="str">
        <f>IF(B59="","",IF(B59="Ingreso","✅ Ingreso",IF(B59="Gasto","💸 Gasto",IF(B59="Ahorro","💰 Ahorro","📈 Inversión"))))</f>
        <v/>
      </c>
    </row>
    <row r="60" ht="18" customHeight="1">
      <c r="G60" s="19">
        <f>IF(F60="","",Config!$C$4)</f>
        <v/>
      </c>
      <c r="H60" s="20">
        <f>IF(F60="","",IF(E60="PEN",F60,F60*G60))</f>
        <v/>
      </c>
      <c r="I60" s="21">
        <f>IF(F60="","",IF(E60="USD",F60,F60/G60))</f>
        <v/>
      </c>
      <c r="J60" s="22" t="str">
        <f>IF(B60="","",IF(B60="Ingreso","✅ Ingreso",IF(B60="Gasto","💸 Gasto",IF(B60="Ahorro","💰 Ahorro","📈 Inversión"))))</f>
        <v/>
      </c>
    </row>
    <row r="61" ht="18" customHeight="1">
      <c r="G61" s="19">
        <f>IF(F61="","",Config!$C$4)</f>
        <v/>
      </c>
      <c r="H61" s="20">
        <f>IF(F61="","",IF(E61="PEN",F61,F61*G61))</f>
        <v/>
      </c>
      <c r="I61" s="21">
        <f>IF(F61="","",IF(E61="USD",F61,F61/G61))</f>
        <v/>
      </c>
      <c r="J61" s="22" t="str">
        <f>IF(B61="","",IF(B61="Ingreso","✅ Ingreso",IF(B61="Gasto","💸 Gasto",IF(B61="Ahorro","💰 Ahorro","📈 Inversión"))))</f>
        <v/>
      </c>
    </row>
    <row r="62" ht="18" customHeight="1">
      <c r="G62" s="19">
        <f>IF(F62="","",Config!$C$4)</f>
        <v/>
      </c>
      <c r="H62" s="20">
        <f>IF(F62="","",IF(E62="PEN",F62,F62*G62))</f>
        <v/>
      </c>
      <c r="I62" s="21">
        <f>IF(F62="","",IF(E62="USD",F62,F62/G62))</f>
        <v/>
      </c>
      <c r="J62" s="22" t="str">
        <f>IF(B62="","",IF(B62="Ingreso","✅ Ingreso",IF(B62="Gasto","💸 Gasto",IF(B62="Ahorro","💰 Ahorro","📈 Inversión"))))</f>
        <v/>
      </c>
    </row>
    <row r="63" ht="18" customHeight="1">
      <c r="G63" s="19">
        <f>IF(F63="","",Config!$C$4)</f>
        <v/>
      </c>
      <c r="H63" s="20">
        <f>IF(F63="","",IF(E63="PEN",F63,F63*G63))</f>
        <v/>
      </c>
      <c r="I63" s="21">
        <f>IF(F63="","",IF(E63="USD",F63,F63/G63))</f>
        <v/>
      </c>
      <c r="J63" s="22" t="str">
        <f>IF(B63="","",IF(B63="Ingreso","✅ Ingreso",IF(B63="Gasto","💸 Gasto",IF(B63="Ahorro","💰 Ahorro","📈 Inversión"))))</f>
        <v/>
      </c>
    </row>
    <row r="64" ht="18" customHeight="1">
      <c r="G64" s="19">
        <f>IF(F64="","",Config!$C$4)</f>
        <v/>
      </c>
      <c r="H64" s="20">
        <f>IF(F64="","",IF(E64="PEN",F64,F64*G64))</f>
        <v/>
      </c>
      <c r="I64" s="21">
        <f>IF(F64="","",IF(E64="USD",F64,F64/G64))</f>
        <v/>
      </c>
      <c r="J64" s="22" t="str">
        <f>IF(B64="","",IF(B64="Ingreso","✅ Ingreso",IF(B64="Gasto","💸 Gasto",IF(B64="Ahorro","💰 Ahorro","📈 Inversión"))))</f>
        <v/>
      </c>
    </row>
    <row r="65" ht="18" customHeight="1">
      <c r="G65" s="19">
        <f>IF(F65="","",Config!$C$4)</f>
        <v/>
      </c>
      <c r="H65" s="20">
        <f>IF(F65="","",IF(E65="PEN",F65,F65*G65))</f>
        <v/>
      </c>
      <c r="I65" s="21">
        <f>IF(F65="","",IF(E65="USD",F65,F65/G65))</f>
        <v/>
      </c>
      <c r="J65" s="22" t="str">
        <f>IF(B65="","",IF(B65="Ingreso","✅ Ingreso",IF(B65="Gasto","💸 Gasto",IF(B65="Ahorro","💰 Ahorro","📈 Inversión"))))</f>
        <v/>
      </c>
    </row>
    <row r="66" ht="18" customHeight="1">
      <c r="G66" s="19">
        <f>IF(F66="","",Config!$C$4)</f>
        <v/>
      </c>
      <c r="H66" s="20">
        <f>IF(F66="","",IF(E66="PEN",F66,F66*G66))</f>
        <v/>
      </c>
      <c r="I66" s="21">
        <f>IF(F66="","",IF(E66="USD",F66,F66/G66))</f>
        <v/>
      </c>
      <c r="J66" s="22" t="str">
        <f>IF(B66="","",IF(B66="Ingreso","✅ Ingreso",IF(B66="Gasto","💸 Gasto",IF(B66="Ahorro","💰 Ahorro","📈 Inversión"))))</f>
        <v/>
      </c>
    </row>
    <row r="67" ht="18" customHeight="1">
      <c r="G67" s="19">
        <f>IF(F67="","",Config!$C$4)</f>
        <v/>
      </c>
      <c r="H67" s="20">
        <f>IF(F67="","",IF(E67="PEN",F67,F67*G67))</f>
        <v/>
      </c>
      <c r="I67" s="21">
        <f>IF(F67="","",IF(E67="USD",F67,F67/G67))</f>
        <v/>
      </c>
      <c r="J67" s="22" t="str">
        <f>IF(B67="","",IF(B67="Ingreso","✅ Ingreso",IF(B67="Gasto","💸 Gasto",IF(B67="Ahorro","💰 Ahorro","📈 Inversión"))))</f>
        <v/>
      </c>
    </row>
    <row r="68" ht="18" customHeight="1">
      <c r="G68" s="19">
        <f>IF(F68="","",Config!$C$4)</f>
        <v/>
      </c>
      <c r="H68" s="20">
        <f>IF(F68="","",IF(E68="PEN",F68,F68*G68))</f>
        <v/>
      </c>
      <c r="I68" s="21">
        <f>IF(F68="","",IF(E68="USD",F68,F68/G68))</f>
        <v/>
      </c>
      <c r="J68" s="22" t="str">
        <f>IF(B68="","",IF(B68="Ingreso","✅ Ingreso",IF(B68="Gasto","💸 Gasto",IF(B68="Ahorro","💰 Ahorro","📈 Inversión"))))</f>
        <v/>
      </c>
    </row>
    <row r="69" ht="18" customHeight="1">
      <c r="G69" s="19">
        <f>IF(F69="","",Config!$C$4)</f>
        <v/>
      </c>
      <c r="H69" s="20">
        <f>IF(F69="","",IF(E69="PEN",F69,F69*G69))</f>
        <v/>
      </c>
      <c r="I69" s="21">
        <f>IF(F69="","",IF(E69="USD",F69,F69/G69))</f>
        <v/>
      </c>
      <c r="J69" s="22" t="str">
        <f>IF(B69="","",IF(B69="Ingreso","✅ Ingreso",IF(B69="Gasto","💸 Gasto",IF(B69="Ahorro","💰 Ahorro","📈 Inversión"))))</f>
        <v/>
      </c>
    </row>
    <row r="70" ht="18" customHeight="1">
      <c r="G70" s="19">
        <f>IF(F70="","",Config!$C$4)</f>
        <v/>
      </c>
      <c r="H70" s="20">
        <f>IF(F70="","",IF(E70="PEN",F70,F70*G70))</f>
        <v/>
      </c>
      <c r="I70" s="21">
        <f>IF(F70="","",IF(E70="USD",F70,F70/G70))</f>
        <v/>
      </c>
      <c r="J70" s="22" t="str">
        <f>IF(B70="","",IF(B70="Ingreso","✅ Ingreso",IF(B70="Gasto","💸 Gasto",IF(B70="Ahorro","💰 Ahorro","📈 Inversión"))))</f>
        <v/>
      </c>
    </row>
    <row r="71" ht="18" customHeight="1">
      <c r="G71" s="19">
        <f>IF(F71="","",Config!$C$4)</f>
        <v/>
      </c>
      <c r="H71" s="20">
        <f>IF(F71="","",IF(E71="PEN",F71,F71*G71))</f>
        <v/>
      </c>
      <c r="I71" s="21">
        <f>IF(F71="","",IF(E71="USD",F71,F71/G71))</f>
        <v/>
      </c>
      <c r="J71" s="22" t="str">
        <f>IF(B71="","",IF(B71="Ingreso","✅ Ingreso",IF(B71="Gasto","💸 Gasto",IF(B71="Ahorro","💰 Ahorro","📈 Inversión"))))</f>
        <v/>
      </c>
    </row>
    <row r="72" ht="18" customHeight="1">
      <c r="G72" s="19">
        <f>IF(F72="","",Config!$C$4)</f>
        <v/>
      </c>
      <c r="H72" s="20">
        <f>IF(F72="","",IF(E72="PEN",F72,F72*G72))</f>
        <v/>
      </c>
      <c r="I72" s="21">
        <f>IF(F72="","",IF(E72="USD",F72,F72/G72))</f>
        <v/>
      </c>
      <c r="J72" s="22" t="str">
        <f>IF(B72="","",IF(B72="Ingreso","✅ Ingreso",IF(B72="Gasto","💸 Gasto",IF(B72="Ahorro","💰 Ahorro","📈 Inversión"))))</f>
        <v/>
      </c>
    </row>
    <row r="73" ht="18" customHeight="1">
      <c r="G73" s="19">
        <f>IF(F73="","",Config!$C$4)</f>
        <v/>
      </c>
      <c r="H73" s="20">
        <f>IF(F73="","",IF(E73="PEN",F73,F73*G73))</f>
        <v/>
      </c>
      <c r="I73" s="21">
        <f>IF(F73="","",IF(E73="USD",F73,F73/G73))</f>
        <v/>
      </c>
      <c r="J73" s="22" t="str">
        <f>IF(B73="","",IF(B73="Ingreso","✅ Ingreso",IF(B73="Gasto","💸 Gasto",IF(B73="Ahorro","💰 Ahorro","📈 Inversión"))))</f>
        <v/>
      </c>
    </row>
    <row r="74" ht="18" customHeight="1">
      <c r="G74" s="19">
        <f>IF(F74="","",Config!$C$4)</f>
        <v/>
      </c>
      <c r="H74" s="20">
        <f>IF(F74="","",IF(E74="PEN",F74,F74*G74))</f>
        <v/>
      </c>
      <c r="I74" s="21">
        <f>IF(F74="","",IF(E74="USD",F74,F74/G74))</f>
        <v/>
      </c>
      <c r="J74" s="22" t="str">
        <f>IF(B74="","",IF(B74="Ingreso","✅ Ingreso",IF(B74="Gasto","💸 Gasto",IF(B74="Ahorro","💰 Ahorro","📈 Inversión"))))</f>
        <v/>
      </c>
    </row>
    <row r="75" ht="18" customHeight="1">
      <c r="G75" s="19">
        <f>IF(F75="","",Config!$C$4)</f>
        <v/>
      </c>
      <c r="H75" s="20">
        <f>IF(F75="","",IF(E75="PEN",F75,F75*G75))</f>
        <v/>
      </c>
      <c r="I75" s="21">
        <f>IF(F75="","",IF(E75="USD",F75,F75/G75))</f>
        <v/>
      </c>
      <c r="J75" s="22" t="str">
        <f>IF(B75="","",IF(B75="Ingreso","✅ Ingreso",IF(B75="Gasto","💸 Gasto",IF(B75="Ahorro","💰 Ahorro","📈 Inversión"))))</f>
        <v/>
      </c>
    </row>
    <row r="76" ht="18" customHeight="1">
      <c r="G76" s="19">
        <f>IF(F76="","",Config!$C$4)</f>
        <v/>
      </c>
      <c r="H76" s="20">
        <f>IF(F76="","",IF(E76="PEN",F76,F76*G76))</f>
        <v/>
      </c>
      <c r="I76" s="21">
        <f>IF(F76="","",IF(E76="USD",F76,F76/G76))</f>
        <v/>
      </c>
      <c r="J76" s="22" t="str">
        <f>IF(B76="","",IF(B76="Ingreso","✅ Ingreso",IF(B76="Gasto","💸 Gasto",IF(B76="Ahorro","💰 Ahorro","📈 Inversión"))))</f>
        <v/>
      </c>
    </row>
    <row r="77" ht="18" customHeight="1">
      <c r="G77" s="19">
        <f>IF(F77="","",Config!$C$4)</f>
        <v/>
      </c>
      <c r="H77" s="20">
        <f>IF(F77="","",IF(E77="PEN",F77,F77*G77))</f>
        <v/>
      </c>
      <c r="I77" s="21">
        <f>IF(F77="","",IF(E77="USD",F77,F77/G77))</f>
        <v/>
      </c>
      <c r="J77" s="22" t="str">
        <f>IF(B77="","",IF(B77="Ingreso","✅ Ingreso",IF(B77="Gasto","💸 Gasto",IF(B77="Ahorro","💰 Ahorro","📈 Inversión"))))</f>
        <v/>
      </c>
    </row>
    <row r="78" ht="18" customHeight="1">
      <c r="G78" s="19">
        <f>IF(F78="","",Config!$C$4)</f>
        <v/>
      </c>
      <c r="H78" s="20">
        <f>IF(F78="","",IF(E78="PEN",F78,F78*G78))</f>
        <v/>
      </c>
      <c r="I78" s="21">
        <f>IF(F78="","",IF(E78="USD",F78,F78/G78))</f>
        <v/>
      </c>
      <c r="J78" s="22" t="str">
        <f>IF(B78="","",IF(B78="Ingreso","✅ Ingreso",IF(B78="Gasto","💸 Gasto",IF(B78="Ahorro","💰 Ahorro","📈 Inversión"))))</f>
        <v/>
      </c>
    </row>
    <row r="79" ht="18" customHeight="1">
      <c r="G79" s="19">
        <f>IF(F79="","",Config!$C$4)</f>
        <v/>
      </c>
      <c r="H79" s="20">
        <f>IF(F79="","",IF(E79="PEN",F79,F79*G79))</f>
        <v/>
      </c>
      <c r="I79" s="21">
        <f>IF(F79="","",IF(E79="USD",F79,F79/G79))</f>
        <v/>
      </c>
      <c r="J79" s="22" t="str">
        <f>IF(B79="","",IF(B79="Ingreso","✅ Ingreso",IF(B79="Gasto","💸 Gasto",IF(B79="Ahorro","💰 Ahorro","📈 Inversión"))))</f>
        <v/>
      </c>
    </row>
    <row r="80" ht="18" customHeight="1">
      <c r="G80" s="19">
        <f>IF(F80="","",Config!$C$4)</f>
        <v/>
      </c>
      <c r="H80" s="20">
        <f>IF(F80="","",IF(E80="PEN",F80,F80*G80))</f>
        <v/>
      </c>
      <c r="I80" s="21">
        <f>IF(F80="","",IF(E80="USD",F80,F80/G80))</f>
        <v/>
      </c>
      <c r="J80" s="22" t="str">
        <f>IF(B80="","",IF(B80="Ingreso","✅ Ingreso",IF(B80="Gasto","💸 Gasto",IF(B80="Ahorro","💰 Ahorro","📈 Inversión"))))</f>
        <v/>
      </c>
    </row>
    <row r="81" ht="18" customHeight="1">
      <c r="G81" s="19">
        <f>IF(F81="","",Config!$C$4)</f>
        <v/>
      </c>
      <c r="H81" s="20">
        <f>IF(F81="","",IF(E81="PEN",F81,F81*G81))</f>
        <v/>
      </c>
      <c r="I81" s="21">
        <f>IF(F81="","",IF(E81="USD",F81,F81/G81))</f>
        <v/>
      </c>
      <c r="J81" s="22" t="str">
        <f>IF(B81="","",IF(B81="Ingreso","✅ Ingreso",IF(B81="Gasto","💸 Gasto",IF(B81="Ahorro","💰 Ahorro","📈 Inversión"))))</f>
        <v/>
      </c>
    </row>
    <row r="82" ht="18" customHeight="1">
      <c r="G82" s="19">
        <f>IF(F82="","",Config!$C$4)</f>
        <v/>
      </c>
      <c r="H82" s="20">
        <f>IF(F82="","",IF(E82="PEN",F82,F82*G82))</f>
        <v/>
      </c>
      <c r="I82" s="21">
        <f>IF(F82="","",IF(E82="USD",F82,F82/G82))</f>
        <v/>
      </c>
      <c r="J82" s="22" t="str">
        <f>IF(B82="","",IF(B82="Ingreso","✅ Ingreso",IF(B82="Gasto","💸 Gasto",IF(B82="Ahorro","💰 Ahorro","📈 Inversión"))))</f>
        <v/>
      </c>
    </row>
    <row r="83" ht="18" customHeight="1">
      <c r="G83" s="19">
        <f>IF(F83="","",Config!$C$4)</f>
        <v/>
      </c>
      <c r="H83" s="20">
        <f>IF(F83="","",IF(E83="PEN",F83,F83*G83))</f>
        <v/>
      </c>
      <c r="I83" s="21">
        <f>IF(F83="","",IF(E83="USD",F83,F83/G83))</f>
        <v/>
      </c>
      <c r="J83" s="22" t="str">
        <f>IF(B83="","",IF(B83="Ingreso","✅ Ingreso",IF(B83="Gasto","💸 Gasto",IF(B83="Ahorro","💰 Ahorro","📈 Inversión"))))</f>
        <v/>
      </c>
    </row>
    <row r="84" ht="18" customHeight="1">
      <c r="G84" s="19">
        <f>IF(F84="","",Config!$C$4)</f>
        <v/>
      </c>
      <c r="H84" s="20">
        <f>IF(F84="","",IF(E84="PEN",F84,F84*G84))</f>
        <v/>
      </c>
      <c r="I84" s="21">
        <f>IF(F84="","",IF(E84="USD",F84,F84/G84))</f>
        <v/>
      </c>
      <c r="J84" s="22" t="str">
        <f>IF(B84="","",IF(B84="Ingreso","✅ Ingreso",IF(B84="Gasto","💸 Gasto",IF(B84="Ahorro","💰 Ahorro","📈 Inversión"))))</f>
        <v/>
      </c>
    </row>
    <row r="85" ht="18" customHeight="1">
      <c r="G85" s="19">
        <f>IF(F85="","",Config!$C$4)</f>
        <v/>
      </c>
      <c r="H85" s="20">
        <f>IF(F85="","",IF(E85="PEN",F85,F85*G85))</f>
        <v/>
      </c>
      <c r="I85" s="21">
        <f>IF(F85="","",IF(E85="USD",F85,F85/G85))</f>
        <v/>
      </c>
      <c r="J85" s="22" t="str">
        <f>IF(B85="","",IF(B85="Ingreso","✅ Ingreso",IF(B85="Gasto","💸 Gasto",IF(B85="Ahorro","💰 Ahorro","📈 Inversión"))))</f>
        <v/>
      </c>
    </row>
    <row r="86" ht="18" customHeight="1">
      <c r="G86" s="19">
        <f>IF(F86="","",Config!$C$4)</f>
        <v/>
      </c>
      <c r="H86" s="20">
        <f>IF(F86="","",IF(E86="PEN",F86,F86*G86))</f>
        <v/>
      </c>
      <c r="I86" s="21">
        <f>IF(F86="","",IF(E86="USD",F86,F86/G86))</f>
        <v/>
      </c>
      <c r="J86" s="22" t="str">
        <f>IF(B86="","",IF(B86="Ingreso","✅ Ingreso",IF(B86="Gasto","💸 Gasto",IF(B86="Ahorro","💰 Ahorro","📈 Inversión"))))</f>
        <v/>
      </c>
    </row>
    <row r="87" ht="18" customHeight="1">
      <c r="G87" s="19">
        <f>IF(F87="","",Config!$C$4)</f>
        <v/>
      </c>
      <c r="H87" s="20">
        <f>IF(F87="","",IF(E87="PEN",F87,F87*G87))</f>
        <v/>
      </c>
      <c r="I87" s="21">
        <f>IF(F87="","",IF(E87="USD",F87,F87/G87))</f>
        <v/>
      </c>
      <c r="J87" s="22" t="str">
        <f>IF(B87="","",IF(B87="Ingreso","✅ Ingreso",IF(B87="Gasto","💸 Gasto",IF(B87="Ahorro","💰 Ahorro","📈 Inversión"))))</f>
        <v/>
      </c>
    </row>
    <row r="88" ht="18" customHeight="1">
      <c r="G88" s="19">
        <f>IF(F88="","",Config!$C$4)</f>
        <v/>
      </c>
      <c r="H88" s="20">
        <f>IF(F88="","",IF(E88="PEN",F88,F88*G88))</f>
        <v/>
      </c>
      <c r="I88" s="21">
        <f>IF(F88="","",IF(E88="USD",F88,F88/G88))</f>
        <v/>
      </c>
      <c r="J88" s="22" t="str">
        <f>IF(B88="","",IF(B88="Ingreso","✅ Ingreso",IF(B88="Gasto","💸 Gasto",IF(B88="Ahorro","💰 Ahorro","📈 Inversión"))))</f>
        <v/>
      </c>
    </row>
    <row r="89" ht="18" customHeight="1">
      <c r="G89" s="19">
        <f>IF(F89="","",Config!$C$4)</f>
        <v/>
      </c>
      <c r="H89" s="20">
        <f>IF(F89="","",IF(E89="PEN",F89,F89*G89))</f>
        <v/>
      </c>
      <c r="I89" s="21">
        <f>IF(F89="","",IF(E89="USD",F89,F89/G89))</f>
        <v/>
      </c>
      <c r="J89" s="22" t="str">
        <f>IF(B89="","",IF(B89="Ingreso","✅ Ingreso",IF(B89="Gasto","💸 Gasto",IF(B89="Ahorro","💰 Ahorro","📈 Inversión"))))</f>
        <v/>
      </c>
    </row>
    <row r="90" ht="18" customHeight="1">
      <c r="G90" s="19">
        <f>IF(F90="","",Config!$C$4)</f>
        <v/>
      </c>
      <c r="H90" s="20">
        <f>IF(F90="","",IF(E90="PEN",F90,F90*G90))</f>
        <v/>
      </c>
      <c r="I90" s="21">
        <f>IF(F90="","",IF(E90="USD",F90,F90/G90))</f>
        <v/>
      </c>
      <c r="J90" s="22" t="str">
        <f>IF(B90="","",IF(B90="Ingreso","✅ Ingreso",IF(B90="Gasto","💸 Gasto",IF(B90="Ahorro","💰 Ahorro","📈 Inversión"))))</f>
        <v/>
      </c>
    </row>
    <row r="91" ht="18" customHeight="1">
      <c r="G91" s="19">
        <f>IF(F91="","",Config!$C$4)</f>
        <v/>
      </c>
      <c r="H91" s="20">
        <f>IF(F91="","",IF(E91="PEN",F91,F91*G91))</f>
        <v/>
      </c>
      <c r="I91" s="21">
        <f>IF(F91="","",IF(E91="USD",F91,F91/G91))</f>
        <v/>
      </c>
      <c r="J91" s="22" t="str">
        <f>IF(B91="","",IF(B91="Ingreso","✅ Ingreso",IF(B91="Gasto","💸 Gasto",IF(B91="Ahorro","💰 Ahorro","📈 Inversión"))))</f>
        <v/>
      </c>
    </row>
    <row r="92" ht="18" customHeight="1">
      <c r="G92" s="19">
        <f>IF(F92="","",Config!$C$4)</f>
        <v/>
      </c>
      <c r="H92" s="20">
        <f>IF(F92="","",IF(E92="PEN",F92,F92*G92))</f>
        <v/>
      </c>
      <c r="I92" s="21">
        <f>IF(F92="","",IF(E92="USD",F92,F92/G92))</f>
        <v/>
      </c>
      <c r="J92" s="22" t="str">
        <f>IF(B92="","",IF(B92="Ingreso","✅ Ingreso",IF(B92="Gasto","💸 Gasto",IF(B92="Ahorro","💰 Ahorro","📈 Inversión"))))</f>
        <v/>
      </c>
    </row>
    <row r="93" ht="18" customHeight="1">
      <c r="G93" s="19">
        <f>IF(F93="","",Config!$C$4)</f>
        <v/>
      </c>
      <c r="H93" s="20">
        <f>IF(F93="","",IF(E93="PEN",F93,F93*G93))</f>
        <v/>
      </c>
      <c r="I93" s="21">
        <f>IF(F93="","",IF(E93="USD",F93,F93/G93))</f>
        <v/>
      </c>
      <c r="J93" s="22" t="str">
        <f>IF(B93="","",IF(B93="Ingreso","✅ Ingreso",IF(B93="Gasto","💸 Gasto",IF(B93="Ahorro","💰 Ahorro","📈 Inversión"))))</f>
        <v/>
      </c>
    </row>
    <row r="94" ht="18" customHeight="1">
      <c r="G94" s="19">
        <f>IF(F94="","",Config!$C$4)</f>
        <v/>
      </c>
      <c r="H94" s="20">
        <f>IF(F94="","",IF(E94="PEN",F94,F94*G94))</f>
        <v/>
      </c>
      <c r="I94" s="21">
        <f>IF(F94="","",IF(E94="USD",F94,F94/G94))</f>
        <v/>
      </c>
      <c r="J94" s="22" t="str">
        <f>IF(B94="","",IF(B94="Ingreso","✅ Ingreso",IF(B94="Gasto","💸 Gasto",IF(B94="Ahorro","💰 Ahorro","📈 Inversión"))))</f>
        <v/>
      </c>
    </row>
    <row r="95" ht="18" customHeight="1">
      <c r="G95" s="19">
        <f>IF(F95="","",Config!$C$4)</f>
        <v/>
      </c>
      <c r="H95" s="20">
        <f>IF(F95="","",IF(E95="PEN",F95,F95*G95))</f>
        <v/>
      </c>
      <c r="I95" s="21">
        <f>IF(F95="","",IF(E95="USD",F95,F95/G95))</f>
        <v/>
      </c>
      <c r="J95" s="22" t="str">
        <f>IF(B95="","",IF(B95="Ingreso","✅ Ingreso",IF(B95="Gasto","💸 Gasto",IF(B95="Ahorro","💰 Ahorro","📈 Inversión"))))</f>
        <v/>
      </c>
    </row>
    <row r="96" ht="18" customHeight="1">
      <c r="G96" s="19">
        <f>IF(F96="","",Config!$C$4)</f>
        <v/>
      </c>
      <c r="H96" s="20">
        <f>IF(F96="","",IF(E96="PEN",F96,F96*G96))</f>
        <v/>
      </c>
      <c r="I96" s="21">
        <f>IF(F96="","",IF(E96="USD",F96,F96/G96))</f>
        <v/>
      </c>
      <c r="J96" s="22" t="str">
        <f>IF(B96="","",IF(B96="Ingreso","✅ Ingreso",IF(B96="Gasto","💸 Gasto",IF(B96="Ahorro","💰 Ahorro","📈 Inversión"))))</f>
        <v/>
      </c>
    </row>
    <row r="97" ht="18" customHeight="1">
      <c r="G97" s="19">
        <f>IF(F97="","",Config!$C$4)</f>
        <v/>
      </c>
      <c r="H97" s="20">
        <f>IF(F97="","",IF(E97="PEN",F97,F97*G97))</f>
        <v/>
      </c>
      <c r="I97" s="21">
        <f>IF(F97="","",IF(E97="USD",F97,F97/G97))</f>
        <v/>
      </c>
      <c r="J97" s="22" t="str">
        <f>IF(B97="","",IF(B97="Ingreso","✅ Ingreso",IF(B97="Gasto","💸 Gasto",IF(B97="Ahorro","💰 Ahorro","📈 Inversión"))))</f>
        <v/>
      </c>
    </row>
    <row r="98" ht="18" customHeight="1">
      <c r="G98" s="19">
        <f>IF(F98="","",Config!$C$4)</f>
        <v/>
      </c>
      <c r="H98" s="20">
        <f>IF(F98="","",IF(E98="PEN",F98,F98*G98))</f>
        <v/>
      </c>
      <c r="I98" s="21">
        <f>IF(F98="","",IF(E98="USD",F98,F98/G98))</f>
        <v/>
      </c>
      <c r="J98" s="22" t="str">
        <f>IF(B98="","",IF(B98="Ingreso","✅ Ingreso",IF(B98="Gasto","💸 Gasto",IF(B98="Ahorro","💰 Ahorro","📈 Inversión"))))</f>
        <v/>
      </c>
    </row>
    <row r="99" ht="18" customHeight="1">
      <c r="G99" s="19">
        <f>IF(F99="","",Config!$C$4)</f>
        <v/>
      </c>
      <c r="H99" s="20">
        <f>IF(F99="","",IF(E99="PEN",F99,F99*G99))</f>
        <v/>
      </c>
      <c r="I99" s="21">
        <f>IF(F99="","",IF(E99="USD",F99,F99/G99))</f>
        <v/>
      </c>
      <c r="J99" s="22" t="str">
        <f>IF(B99="","",IF(B99="Ingreso","✅ Ingreso",IF(B99="Gasto","💸 Gasto",IF(B99="Ahorro","💰 Ahorro","📈 Inversión"))))</f>
        <v/>
      </c>
    </row>
    <row r="100" ht="18" customHeight="1">
      <c r="G100" s="19">
        <f>IF(F100="","",Config!$C$4)</f>
        <v/>
      </c>
      <c r="H100" s="20">
        <f>IF(F100="","",IF(E100="PEN",F100,F100*G100))</f>
        <v/>
      </c>
      <c r="I100" s="21">
        <f>IF(F100="","",IF(E100="USD",F100,F100/G100))</f>
        <v/>
      </c>
      <c r="J100" s="22" t="str">
        <f>IF(B100="","",IF(B100="Ingreso","✅ Ingreso",IF(B100="Gasto","💸 Gasto",IF(B100="Ahorro","💰 Ahorro","📈 Inversión"))))</f>
        <v/>
      </c>
    </row>
    <row r="102" ht="20" customHeight="1">
      <c r="A102" s="15" t="inlineStr">
        <is>
          <t>TOTAL</t>
        </is>
      </c>
      <c r="H102" s="20">
        <f>SUM(H4:H101)</f>
        <v/>
      </c>
      <c r="I102" s="21">
        <f>SUM(I4:I101)</f>
        <v/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 t="n">
        <v>245</v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39" t="n">
        <v>66.66666666666667</v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 t="n">
        <v>53.33333333333334</v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39" t="n">
        <v>70</v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 t="n">
        <v>53.33333333333334</v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39" t="n">
        <v>115</v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 t="n">
        <v>36.33333333333334</v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39" t="n">
        <v>32</v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 t="n">
        <v>233.3333333333333</v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 t="n">
        <v>1200</v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39" t="n">
        <v>746.67</v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 t="n">
        <v>233.33</v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39" t="n">
        <v>3333.33</v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 t="n">
        <v>80</v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39" t="n">
        <v>200</v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</worksheet>
</file>

<file path=xl/worksheets/sheet6.xml><worksheet xmlns="http://schemas.openxmlformats.org/spreadsheetml/2006/main"><sheetPr><outlinePr summaryBelow="1" summaryRight="1" /><pageSetUpPr /></sheetPr><dimension ref="A1:J27" /><sheetViews><sheetView showGridLines="0" workbookViewId="0"><selection activeCell="A1" sqref="A1" /></sheetView></sheetViews><sheetFormatPr baseColWidth="8" defaultRowHeight="15" /><cols><col width="3" customWidth="1" min="1" max="1" /><col width="22" customWidth="1" min="2" max="2" /><col width="18" customWidth="1" min="3" max="3" /><col width="16" customWidth="1" min="4" max="4" /><col width="16" customWidth="1" min="5" max="5" /><col width="3" customWidth="1" min="6" max="6" /><col width="18" customWidth="1" min="7" max="7" /><col width="16" customWidth="1" min="8" max="8" /><col width="16" customWidth="1" min="9" max="9" /><col width="3" customWidth="1" min="10" max="10" /></cols><sheetData><row r="1" ht="44" customHeight="1"><c r="B1" s="46" t="inlineStr"><is><t>🏠  FINANZPRO  |  DASHBOARD BIMONEDA</t></is></c></row><row r="2" ht="18" customHeight="1"><c r="B2" s="47" t="inlineStr"><is><t>Tipo de cambio: S/. 3.75 por USD   ·   Mes: Marzo 2026   ·   Actualiza en hoja Config</t></is></c></row><row r="3" ht="22" customHeight="1"></row><row r="4" ht="20" customHeight="1"><c r="B4" s="22" t="inlineStr"><is><t>💰 INGRESOS DEL MES</t></is></c><c r="C4" s="48" t="n" /><c r="E4" s="26" t="inlineStr"><is><t>💸 GASTOS DEL MES</t></is></c><c r="F4" s="48" t="n" /><c r="H4" s="27" t="inlineStr"><is><t>🏦 AHORRO DEL MES</t></is></c><c r="I4" s="48" t="n" /></row><row r="5" ht="30" customHeight="1"><c r="B5" s="49" t="n"><v>5931.25</v></c><c r="C5" s="48" t="n" /><c r="E5" s="50" t="n"><v>2604.5</v></c><c r="F5" s="48" t="n" /><c r="H5" s="51" t="n"><v>875</v></c><c r="I5" s="48" t="n" /></row><row r="6" ht="26" customHeight="1"><c r="B6" s="52" t="n"><v>1581.67</v></c><c r="C6" s="48" t="n" /><c r="E6" s="53" t="n"><v>694.53</v></c><c r="F6" s="48" t="n" /><c r="H6" s="54" t="n"><v>233.33</v></c><c r="I6" s="48" t="n" /></row><row r="7" ht="10" customHeight="1"><c r="B7" s="55" t="n" /><c r="C7" s="48" t="n" /><c r="E7" s="56" t="n" /><c r="F7" s="48" t="n" /><c r="H7" s="57" t="n" /><c r="I7" s="48" t="n" /></row><row r="8" ht="22" customHeight="1"><c r="B8" s="55" t="n" /><c r="C8" s="48" t="n" /><c r="E8" s="56" t="n" /><c r="F8" s="48" t="n" /><c r="H8" s="57" t="n" /><c r="I8" s="48" t="n" /></row><row r="9" ht="10" customHeight="1"></row><row r="10" ht="28" customHeight="1"><c r="B10" s="58" t="inlineStr"><is><t>BALANCE NETO:   S/. 3,326.75   |   USD 887.13   ·   Ahorro logrado: 56% del objetivo mensual</t></is></c></row><row r="11" ht="12" customHeight="1"></row><row r="12" ht="24" customHeight="1"><c r="B12" s="59" t="inlineStr"><is><t>📌 GASTOS POR CATEGORÍA</t></is></c><c r="G12" s="59" t="inlineStr"><is><t>💱 CONVERSIÓN RÁPIDA  (TC: S/. 3.75)</t></is></c></row><row r="13" ht="22" customHeight="1"><c r="A13" s="60" t="inlineStr"><is><t>USD →</t></is></c><c r="B13" s="60"><f> S/.</f><v /></c><c r="C13" s="60" t="inlineStr"><is><t>S/. →</t></is></c><c r="D13" s="60"><f> USD</f><v /></c></row><row r="14" ht="18" customHeight="1"><c r="B14" s="5" t="inlineStr"><is><t>🛒 Alimentación</t></is></c><c r="C14" s="6" t="n"><v>815</v></c><c r="D14" s="10" t="n"><v>217.3</v></c><c r="E14" s="42" t="n"><v>0.313</v></c><c r="G14" s="61" t="n"><v>1</v></c><c r="H14" s="62" t="n"><v>3.75</v></c><c r="I14" s="62" t="n"><v>10</v></c><c r="J14" s="61" t="n"><v>2.67</v></c></row><row r="15" ht="18" customHeight="1"><c r="B15" s="8" t="inlineStr"><is><t>🚗 Transporte</t></is></c><c r="C15" s="38" t="n"><v>165</v></c><c r="D15" s="39" t="n"><v>44</v></c><c r="E15" s="43" t="n"><v>0.063</v></c><c r="G15" s="63" t="n"><v>5</v></c><c r="H15" s="64" t="n"><v>18.75</v></c><c r="I15" s="64" t="n"><v>50</v></c><c r="J15" s="63" t="n"><v>13.33</v></c></row><row r="16" ht="18" customHeight="1"><c r="B16" s="5" t="inlineStr"><is><t>⚡ Servicios</t></is></c><c r="C16" s="6" t="n"><v>189</v></c><c r="D16" s="10" t="n"><v>50.4</v></c><c r="E16" s="42" t="n"><v>0.073</v></c><c r="G16" s="61" t="n"><v>10</v></c><c r="H16" s="62" t="n"><v>37.5</v></c><c r="I16" s="62" t="n"><v>100</v></c><c r="J16" s="61" t="n"><v>26.67</v></c></row><row r="17" ht="18" customHeight="1"><c r="B17" s="8" t="inlineStr"><is><t>🎬 Entretenimiento</t></is></c><c r="C17" s="38" t="n"><v>210.5</v></c><c r="D17" s="39" t="n"><v>56.1</v></c><c r="E17" s="43" t="n"><v>0.081</v></c><c r="G17" s="63" t="n"><v>20</v></c><c r="H17" s="64" t="n"><v>75</v></c><c r="I17" s="64" t="n"><v>200</v></c><c r="J17" s="63" t="n"><v>53.33</v></c></row><row r="18" ht="18" customHeight="1"><c r="B18" s="5" t="inlineStr"><is><t>💊 Salud</t></is></c><c r="C18" s="6" t="n"><v>218</v></c><c r="D18" s="10" t="n"><v>58.1</v></c><c r="E18" s="42" t="n"><v>0.08400000000000001</v></c><c r="G18" s="61" t="n"><v>50</v></c><c r="H18" s="62" t="n"><v>187.5</v></c><c r="I18" s="62" t="n"><v>500</v></c><c r="J18" s="61" t="n"><v>133.33</v></c></row><row r="19" ht="18" customHeight="1"><c r="B19" s="8" t="inlineStr"><is><t>👕 Ropa</t></is></c><c r="C19" s="38" t="n"><v>346.25</v></c><c r="D19" s="39" t="n"><v>92.3</v></c><c r="E19" s="43" t="n"><v>0.133</v></c><c r="G19" s="63" t="n"><v>100</v></c><c r="H19" s="64" t="n"><v>375</v></c><c r="I19" s="64" t="n"><v>1000</v></c><c r="J19" s="63" t="n"><v>266.67</v></c></row><row r="20" ht="18" customHeight="1"><c r="B20" s="5" t="inlineStr"><is><t>📚 Educación</t></is></c><c r="C20" s="6" t="n"><v>131.25</v></c><c r="D20" s="10" t="n"><v>35</v></c><c r="E20" s="42" t="n"><v>0.05</v></c><c r="G20" s="61" t="n"><v>200</v></c><c r="H20" s="62" t="n"><v>750</v></c><c r="I20" s="62" t="n"><v>2000</v></c><c r="J20" s="61" t="n"><v>533.33</v></c></row><row r="21" ht="18" customHeight="1"><c r="B21" s="8" t="inlineStr"><is><t>🏠 Hogar</t></is></c><c r="C21" s="38" t="n"><v>87</v></c><c r="D21" s="39" t="n"><v>23.2</v></c><c r="E21" s="43" t="n"><v>0.033</v></c><c r="G21" s="63" t="n"><v>500</v></c><c r="H21" s="64" t="n"><v>1875</v></c><c r="I21" s="64" t="n"><v>5000</v></c><c r="J21" s="63" t="n"><v>1333.33</v></c></row><row r="22" ht="18" customHeight="1"><c r="B22" s="5" t="inlineStr"><is><t>💰 Ahorro</t></is></c><c r="C22" s="6" t="n"><v>875</v></c><c r="D22" s="10" t="n"><v>233.3</v></c><c r="E22" s="42" t="n"><v>0.336</v></c><c r="G22" s="61" t="n"><v>1000</v></c><c r="H22" s="62" t="n"><v>3750</v></c><c r="I22" s="62" t="n"><v>10000</v></c><c r="J22" s="61" t="n"><v>2666.67</v></c></row><row r="23" ht="22" customHeight="1"></row><row r="24" ht="12" customHeight="1"></row><row r="25" ht="22" customHeight="1"><c r="B25" s="65" t="inlineStr"><is><t>🗑  LIMPIAR DATOS
Nuevo mes</t></is></c><c r="E25" s="66" t="inlineStr"><is><t>El botón Limpiar Datos se activa al guardar como .xlsm con el macro VBA incluido.
Si usas Excel escritorio: habilita macros al abrir el archivo.</t></is></c></row><row r="26" ht="22" customHeight="1"></row><row r="27" ht="22" customHeight="1"></row><row r="28" ht="22" customHeight="1"></row><row r="29" ht="22" customHeight="1"></row><row r="30" ht="22" customHeight="1"></row><row r="31" ht="22" customHeight="1"></row><row r="32" ht="22" customHeight="1"></row><row r="33" ht="22" customHeight="1"></row><row r="34" ht="22" customHeight="1"></row><row r="35" ht="22" customHeight="1"></row><row r="36" ht="22" customHeight="1"></row><row r="37" ht="22" customHeight="1"></row><row r="38" ht="22" customHeight="1"></row><row r="39" ht="22" customHeight="1"></row><row r="40" ht="22" customHeight="1"></row><row r="41" ht="22" customHeight="1"></row><row r="42" ht="22" customHeight="1"></row><row r="43" ht="22" customHeight="1"></row><row r="44" ht="22" customHeight="1"></row><row r="45" ht="22" customHeight="1"></row><row r="46" ht="22" customHeight="1"></row><row r="47" ht="22" customHeight="1"></row><row r="48" ht="22" customHeight="1"></row><row r="49" ht="22" customHeight="1"></row><row r="50" ht="22" customHeight="1"></row><row r="51" ht="22" customHeight="1"></row><row r="52" ht="22" customHeight="1"></row><row r="53" ht="22" customHeight="1"></row><row r="54" ht="22" customHeight="1"></row></sheetData><mergeCells count="22"><mergeCell ref="B7:C7" /><mergeCell ref="E5:F5" /><mergeCell ref="B1:J1" /><mergeCell ref="H4:I4" /><mergeCell ref="E8:F8" /><mergeCell ref="E4:F4" /><mergeCell ref="H6:I6" /><mergeCell ref="B10:J10" /><mergeCell ref="G12:J12" /><mergeCell ref="B8:C8" /><mergeCell ref="E6:F6" /><mergeCell ref="B12:E12" /><mergeCell ref="H7:I7" /><mergeCell ref="E25:J27" /><mergeCell ref="B25:D27" /><mergeCell ref="B6:C6" /><mergeCell ref="E7:F7" /><mergeCell ref="B5:C5" /><mergeCell ref="H5:I5" /><mergeCell ref="H8:I8" /><mergeCell ref="B4:C4" /><mergeCell ref="B2:J2" /></mergeCells><pageMargins left="0.75" right="0.75" top="1" bottom="1" header="0.5" footer="0.5" /><drawing xmlns:r="http://schemas.openxmlformats.org/officeDocument/2006/relationships" r:id="rId1" /><legacyDrawing r:id="rId2"/>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