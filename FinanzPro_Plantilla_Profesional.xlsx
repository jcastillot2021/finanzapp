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Inicio" sheetId="1" state="visible" r:id="rId1"/>
    <sheet name="📊 Dashboard" sheetId="2" state="visible" r:id="rId2"/>
    <sheet name="💳 Transacciones" sheetId="3" state="visible" r:id="rId3"/>
    <sheet name="📦 Inventario" sheetId="4" state="visible" r:id="rId4"/>
    <sheet name="👥 Clientes" sheetId="5" state="visible" r:id="rId5"/>
    <sheet name="📈 Informe Mensual" sheetId="6" state="visible" r:id="rId6"/>
    <sheet name="❓ Instrucciones" sheetId="7" state="visible" r:id="rId7"/>
    <sheet name="⚙ Listas" sheetId="8" state="hidden" r:id="rId8"/>
  </sheets>
  <definedNames/>
  <calcPr calcId="124519" fullCalcOnLoad="1"/>
</workbook>
</file>

<file path=xl/styles.xml><?xml version="1.0" encoding="utf-8"?>
<styleSheet xmlns="http://schemas.openxmlformats.org/spreadsheetml/2006/main">
  <numFmts count="4">
    <numFmt numFmtId="164" formatCode="DD/MM/YYYY"/>
    <numFmt numFmtId="165" formatCode="&quot;$&quot;#,##0.00"/>
    <numFmt numFmtId="166" formatCode="&quot;Actualizado al  &quot;DD&quot; de &quot;MMMM&quot;, &quot;YYYY"/>
    <numFmt numFmtId="167" formatCode="0.0%"/>
  </numFmts>
  <fonts count="35">
    <font>
      <name val="Calibri"/>
      <family val="2"/>
      <color theme="1"/>
      <sz val="11"/>
      <scheme val="minor"/>
    </font>
    <font>
      <name val="Calibri"/>
      <b val="1"/>
      <color rgb="006C63FF"/>
      <sz val="36"/>
    </font>
    <font>
      <name val="Calibri"/>
      <i val="1"/>
      <color rgb="0094A3B8"/>
      <sz val="13"/>
    </font>
    <font>
      <name val="Calibri"/>
      <color rgb="0094A3B8"/>
      <sz val="10"/>
    </font>
    <font>
      <name val="Calibri"/>
      <b val="1"/>
      <color rgb="006C63FF"/>
      <sz val="11"/>
    </font>
    <font>
      <name val="Calibri"/>
      <i val="1"/>
      <color rgb="0094A3B8"/>
      <sz val="10"/>
    </font>
    <font>
      <name val="Calibri"/>
      <b val="1"/>
      <color rgb="0010B981"/>
      <sz val="11"/>
    </font>
    <font>
      <name val="Calibri"/>
      <b val="1"/>
      <color rgb="00F59E0B"/>
      <sz val="11"/>
    </font>
    <font>
      <name val="Calibri"/>
      <b val="1"/>
      <color rgb="003B82F6"/>
      <sz val="11"/>
    </font>
    <font>
      <name val="Calibri"/>
      <b val="1"/>
      <color rgb="00F43F5E"/>
      <sz val="11"/>
    </font>
    <font>
      <name val="Calibri"/>
      <b val="1"/>
      <color rgb="00FFFFFF"/>
      <sz val="11"/>
    </font>
    <font>
      <name val="Calibri"/>
      <b val="1"/>
      <color rgb="000D1117"/>
      <sz val="10"/>
    </font>
    <font>
      <name val="Calibri"/>
      <i val="1"/>
      <color rgb="006C63FF"/>
      <sz val="10"/>
    </font>
    <font>
      <name val="Calibri"/>
      <color rgb="000D1117"/>
      <sz val="10"/>
    </font>
    <font>
      <name val="Calibri"/>
      <b val="1"/>
      <color rgb="00FFFFFF"/>
      <sz val="14"/>
    </font>
    <font>
      <name val="Calibri"/>
      <b val="1"/>
      <color rgb="00FFFFFF"/>
      <sz val="10"/>
    </font>
    <font>
      <name val="Calibri"/>
      <color rgb="0094A3B8"/>
      <sz val="9"/>
    </font>
    <font>
      <name val="Calibri"/>
      <b val="1"/>
      <color rgb="00FFFFFF"/>
      <sz val="13"/>
    </font>
    <font>
      <name val="Calibri"/>
      <b val="1"/>
      <color rgb="00FFFFFF"/>
      <sz val="22"/>
    </font>
    <font>
      <name val="Calibri"/>
      <i val="1"/>
      <color rgb="0094A3B8"/>
      <sz val="11"/>
    </font>
    <font>
      <name val="Calibri"/>
      <b val="1"/>
      <color rgb="00FFFFFF"/>
      <sz val="9"/>
    </font>
    <font>
      <name val="Calibri"/>
      <b val="1"/>
      <color rgb="0010B981"/>
      <sz val="16"/>
    </font>
    <font>
      <name val="Calibri"/>
      <b val="1"/>
      <color rgb="00F43F5E"/>
      <sz val="16"/>
    </font>
    <font>
      <name val="Calibri"/>
      <b val="1"/>
      <color rgb="006C63FF"/>
      <sz val="16"/>
    </font>
    <font>
      <name val="Calibri"/>
      <b val="1"/>
      <color rgb="00F59E0B"/>
      <sz val="16"/>
    </font>
    <font>
      <name val="Calibri"/>
      <b val="1"/>
      <color rgb="003B82F6"/>
      <sz val="16"/>
    </font>
    <font>
      <name val="Calibri"/>
      <b val="1"/>
      <color rgb="006C63FF"/>
      <sz val="12"/>
    </font>
    <font>
      <name val="Calibri"/>
      <b val="1"/>
      <color rgb="00FFFFFF"/>
      <sz val="18"/>
    </font>
    <font>
      <name val="Calibri"/>
      <b val="1"/>
      <color rgb="000D1117"/>
      <sz val="11"/>
    </font>
    <font>
      <name val="Calibri"/>
      <b val="1"/>
      <color rgb="006C63FF"/>
      <sz val="20"/>
    </font>
    <font>
      <name val="Calibri"/>
      <b val="1"/>
      <color rgb="006C63FF"/>
      <sz val="10"/>
    </font>
    <font>
      <name val="Calibri"/>
      <b val="1"/>
      <color rgb="0010B981"/>
      <sz val="15"/>
    </font>
    <font>
      <name val="Calibri"/>
      <b val="1"/>
      <color rgb="00F43F5E"/>
      <sz val="15"/>
    </font>
    <font>
      <name val="Calibri"/>
      <b val="1"/>
      <color rgb="006C63FF"/>
      <sz val="15"/>
    </font>
    <font>
      <name val="Calibri"/>
      <b val="1"/>
      <color rgb="003B82F6"/>
      <sz val="15"/>
    </font>
  </fonts>
  <fills count="17">
    <fill>
      <patternFill/>
    </fill>
    <fill>
      <patternFill patternType="gray125"/>
    </fill>
    <fill>
      <patternFill patternType="solid">
        <fgColor rgb="000D1117"/>
      </patternFill>
    </fill>
    <fill>
      <patternFill patternType="solid">
        <fgColor rgb="001A1F2E"/>
      </patternFill>
    </fill>
    <fill>
      <patternFill patternType="solid">
        <fgColor rgb="00F8FAFC"/>
      </patternFill>
    </fill>
    <fill>
      <patternFill patternType="solid">
        <fgColor rgb="00FFFFFF"/>
      </patternFill>
    </fill>
    <fill>
      <patternFill patternType="solid">
        <fgColor rgb="00F1F5F9"/>
      </patternFill>
    </fill>
    <fill>
      <patternFill patternType="solid">
        <fgColor rgb="0010B981"/>
      </patternFill>
    </fill>
    <fill>
      <patternFill patternType="solid">
        <fgColor rgb="00F43F5E"/>
      </patternFill>
    </fill>
    <fill>
      <patternFill patternType="solid">
        <fgColor rgb="006C63FF"/>
      </patternFill>
    </fill>
    <fill>
      <patternFill patternType="solid">
        <fgColor rgb="00ECFDF5"/>
      </patternFill>
    </fill>
    <fill>
      <patternFill patternType="solid">
        <fgColor rgb="00FFF1F2"/>
      </patternFill>
    </fill>
    <fill>
      <patternFill patternType="solid">
        <fgColor rgb="00EFF6FF"/>
      </patternFill>
    </fill>
    <fill>
      <patternFill patternType="solid">
        <fgColor rgb="00F59E0B"/>
      </patternFill>
    </fill>
    <fill>
      <patternFill patternType="solid">
        <fgColor rgb="00FFFBEB"/>
      </patternFill>
    </fill>
    <fill>
      <patternFill patternType="solid">
        <fgColor rgb="003B82F6"/>
      </patternFill>
    </fill>
    <fill>
      <patternFill patternType="solid">
        <fgColor rgb="F59E0BCC"/>
      </patternFill>
    </fill>
  </fills>
  <borders count="9">
    <border>
      <left/>
      <right/>
      <top/>
      <bottom/>
      <diagonal/>
    </border>
    <border>
      <bottom style="thin">
        <color rgb="00E2E8F0"/>
      </bottom>
    </border>
    <border>
      <left style="thin">
        <color rgb="00FFFFFF"/>
      </left>
      <right style="thin">
        <color rgb="00FFFFFF"/>
      </right>
      <top style="thin">
        <color rgb="00FFFFFF"/>
      </top>
      <bottom style="thin">
        <color rgb="00FFFFFF"/>
      </bottom>
    </border>
    <border>
      <left style="thin">
        <color rgb="00E2E8F0"/>
      </left>
      <right style="thin">
        <color rgb="00E2E8F0"/>
      </right>
      <top style="thin">
        <color rgb="00E2E8F0"/>
      </top>
      <bottom style="thin">
        <color rgb="00E2E8F0"/>
      </bottom>
    </border>
    <border>
      <left/>
      <right/>
      <top style="thin">
        <color rgb="00E2E8F0"/>
      </top>
      <bottom/>
      <diagonal/>
    </border>
    <border>
      <left/>
      <right style="thin">
        <color rgb="00E2E8F0"/>
      </right>
      <top style="thin">
        <color rgb="00E2E8F0"/>
      </top>
      <bottom/>
      <diagonal/>
    </border>
    <border>
      <left/>
      <right/>
      <top style="thin">
        <color rgb="00E2E8F0"/>
      </top>
      <bottom style="thin">
        <color rgb="00E2E8F0"/>
      </bottom>
      <diagonal/>
    </border>
    <border>
      <left/>
      <right style="thin">
        <color rgb="00E2E8F0"/>
      </right>
      <top style="thin">
        <color rgb="00E2E8F0"/>
      </top>
      <bottom style="thin">
        <color rgb="00E2E8F0"/>
      </bottom>
      <diagonal/>
    </border>
    <border>
      <left style="thin">
        <color rgb="006C63FF"/>
      </left>
      <right style="thin">
        <color rgb="006C63FF"/>
      </right>
      <top style="thin">
        <color rgb="006C63FF"/>
      </top>
      <bottom style="thin">
        <color rgb="006C63FF"/>
      </bottom>
    </border>
  </borders>
  <cellStyleXfs count="1">
    <xf numFmtId="0" fontId="0" fillId="0" borderId="0"/>
  </cellStyleXfs>
  <cellXfs count="87">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8" fillId="0" borderId="0" applyAlignment="1" pivotButton="0" quotePrefix="0" xfId="0">
      <alignment horizontal="left" vertical="center"/>
    </xf>
    <xf numFmtId="0" fontId="9" fillId="0" borderId="0" applyAlignment="1" pivotButton="0" quotePrefix="0" xfId="0">
      <alignment horizontal="left" vertical="center"/>
    </xf>
    <xf numFmtId="0" fontId="10" fillId="3" borderId="0" applyAlignment="1" pivotButton="0" quotePrefix="0" xfId="0">
      <alignment horizontal="left" vertical="center"/>
    </xf>
    <xf numFmtId="0" fontId="11" fillId="4" borderId="1" applyAlignment="1" pivotButton="0" quotePrefix="0" xfId="0">
      <alignment horizontal="left" vertical="center"/>
    </xf>
    <xf numFmtId="0" fontId="0" fillId="0" borderId="1" pivotButton="0" quotePrefix="0" xfId="0"/>
    <xf numFmtId="0" fontId="12" fillId="0" borderId="1" pivotButton="0" quotePrefix="0" xfId="0"/>
    <xf numFmtId="0" fontId="13" fillId="0" borderId="1" pivotButton="0" quotePrefix="0" xfId="0"/>
    <xf numFmtId="0" fontId="18" fillId="2" borderId="0" applyAlignment="1" pivotButton="0" quotePrefix="0" xfId="0">
      <alignment horizontal="left" vertical="center"/>
    </xf>
    <xf numFmtId="166" fontId="19" fillId="2" borderId="0" applyAlignment="1" pivotButton="0" quotePrefix="0" xfId="0">
      <alignment horizontal="left" vertical="center"/>
    </xf>
    <xf numFmtId="0" fontId="0" fillId="2" borderId="0" pivotButton="0" quotePrefix="0" xfId="0"/>
    <xf numFmtId="0" fontId="20" fillId="7" borderId="0" applyAlignment="1" pivotButton="0" quotePrefix="0" xfId="0">
      <alignment horizontal="center" vertical="center"/>
    </xf>
    <xf numFmtId="0" fontId="20" fillId="8" borderId="0" applyAlignment="1" pivotButton="0" quotePrefix="0" xfId="0">
      <alignment horizontal="center" vertical="center"/>
    </xf>
    <xf numFmtId="0" fontId="20" fillId="9" borderId="0" applyAlignment="1" pivotButton="0" quotePrefix="0" xfId="0">
      <alignment horizontal="center" vertical="center"/>
    </xf>
    <xf numFmtId="0" fontId="20" fillId="13" borderId="0" applyAlignment="1" pivotButton="0" quotePrefix="0" xfId="0">
      <alignment horizontal="center" vertical="center"/>
    </xf>
    <xf numFmtId="0" fontId="20" fillId="15" borderId="0" applyAlignment="1" pivotButton="0" quotePrefix="0" xfId="0">
      <alignment horizontal="center" vertical="center"/>
    </xf>
    <xf numFmtId="165" fontId="21" fillId="10" borderId="0" applyAlignment="1" pivotButton="0" quotePrefix="0" xfId="0">
      <alignment horizontal="center" vertical="center"/>
    </xf>
    <xf numFmtId="165" fontId="22" fillId="11" borderId="0" applyAlignment="1" pivotButton="0" quotePrefix="0" xfId="0">
      <alignment horizontal="center" vertical="center"/>
    </xf>
    <xf numFmtId="165" fontId="23" fillId="12" borderId="0" applyAlignment="1" pivotButton="0" quotePrefix="0" xfId="0">
      <alignment horizontal="center" vertical="center"/>
    </xf>
    <xf numFmtId="1" fontId="24" fillId="14" borderId="0" applyAlignment="1" pivotButton="0" quotePrefix="0" xfId="0">
      <alignment horizontal="center" vertical="center"/>
    </xf>
    <xf numFmtId="1" fontId="25" fillId="12" borderId="0" applyAlignment="1" pivotButton="0" quotePrefix="0" xfId="0">
      <alignment horizontal="center" vertical="center"/>
    </xf>
    <xf numFmtId="0" fontId="15" fillId="3" borderId="2" applyAlignment="1" pivotButton="0" quotePrefix="0" xfId="0">
      <alignment horizontal="center" vertical="center"/>
    </xf>
    <xf numFmtId="0" fontId="11" fillId="5" borderId="3" applyAlignment="1" pivotButton="0" quotePrefix="0" xfId="0">
      <alignment horizontal="left" vertical="center"/>
    </xf>
    <xf numFmtId="165" fontId="0" fillId="5" borderId="3" applyAlignment="1" pivotButton="0" quotePrefix="0" xfId="0">
      <alignment horizontal="right" vertical="center"/>
    </xf>
    <xf numFmtId="167" fontId="0" fillId="5" borderId="3" applyAlignment="1" pivotButton="0" quotePrefix="0" xfId="0">
      <alignment horizontal="center" vertical="center"/>
    </xf>
    <xf numFmtId="0" fontId="11" fillId="6" borderId="3" applyAlignment="1" pivotButton="0" quotePrefix="0" xfId="0">
      <alignment horizontal="left" vertical="center"/>
    </xf>
    <xf numFmtId="165" fontId="0" fillId="6" borderId="3" applyAlignment="1" pivotButton="0" quotePrefix="0" xfId="0">
      <alignment horizontal="right" vertical="center"/>
    </xf>
    <xf numFmtId="167" fontId="0" fillId="6" borderId="3" applyAlignment="1" pivotButton="0" quotePrefix="0" xfId="0">
      <alignment horizontal="center" vertical="center"/>
    </xf>
    <xf numFmtId="0" fontId="15" fillId="3" borderId="2" applyAlignment="1" pivotButton="0" quotePrefix="0" xfId="0">
      <alignment horizontal="left" vertical="center"/>
    </xf>
    <xf numFmtId="165" fontId="15" fillId="3" borderId="2" applyAlignment="1" pivotButton="0" quotePrefix="0" xfId="0">
      <alignment horizontal="right" vertical="center"/>
    </xf>
    <xf numFmtId="167" fontId="15" fillId="3" borderId="2" applyAlignment="1" pivotButton="0" quotePrefix="0" xfId="0">
      <alignment horizontal="right" vertical="center"/>
    </xf>
    <xf numFmtId="0" fontId="15" fillId="8" borderId="2" applyAlignment="1" pivotButton="0" quotePrefix="0" xfId="0">
      <alignment horizontal="center" vertical="center"/>
    </xf>
    <xf numFmtId="0" fontId="13" fillId="5" borderId="3" pivotButton="0" quotePrefix="0" xfId="0"/>
    <xf numFmtId="0" fontId="13" fillId="6" borderId="3" pivotButton="0" quotePrefix="0" xfId="0"/>
    <xf numFmtId="0" fontId="14" fillId="2" borderId="0" applyAlignment="1" pivotButton="0" quotePrefix="0" xfId="0">
      <alignment horizontal="left" vertical="center"/>
    </xf>
    <xf numFmtId="0" fontId="16" fillId="4" borderId="3" applyAlignment="1" pivotButton="0" quotePrefix="0" xfId="0">
      <alignment horizontal="left" vertical="center"/>
    </xf>
    <xf numFmtId="164" fontId="0" fillId="5" borderId="3" applyAlignment="1" pivotButton="0" quotePrefix="0" xfId="0">
      <alignment horizontal="center" vertical="center"/>
    </xf>
    <xf numFmtId="0" fontId="0" fillId="5" borderId="3" applyAlignment="1" pivotButton="0" quotePrefix="0" xfId="0">
      <alignment horizontal="center" vertical="center"/>
    </xf>
    <xf numFmtId="0" fontId="0" fillId="5" borderId="3" applyAlignment="1" pivotButton="0" quotePrefix="0" xfId="0">
      <alignment horizontal="left" vertical="center"/>
    </xf>
    <xf numFmtId="165" fontId="0" fillId="5" borderId="3" applyAlignment="1" pivotButton="0" quotePrefix="0" xfId="0">
      <alignment horizontal="left" vertical="center"/>
    </xf>
    <xf numFmtId="164" fontId="0" fillId="6" borderId="3" applyAlignment="1" pivotButton="0" quotePrefix="0" xfId="0">
      <alignment horizontal="center" vertical="center"/>
    </xf>
    <xf numFmtId="0" fontId="0" fillId="6" borderId="3" applyAlignment="1" pivotButton="0" quotePrefix="0" xfId="0">
      <alignment horizontal="center" vertical="center"/>
    </xf>
    <xf numFmtId="0" fontId="0" fillId="6" borderId="3" applyAlignment="1" pivotButton="0" quotePrefix="0" xfId="0">
      <alignment horizontal="left" vertical="center"/>
    </xf>
    <xf numFmtId="165" fontId="0" fillId="6" borderId="3" applyAlignment="1" pivotButton="0" quotePrefix="0" xfId="0">
      <alignment horizontal="left" vertical="center"/>
    </xf>
    <xf numFmtId="0" fontId="0" fillId="3" borderId="0" pivotButton="0" quotePrefix="0" xfId="0"/>
    <xf numFmtId="165" fontId="10" fillId="7" borderId="0" applyAlignment="1" pivotButton="0" quotePrefix="0" xfId="0">
      <alignment horizontal="center" vertical="center"/>
    </xf>
    <xf numFmtId="165" fontId="10" fillId="8" borderId="0" applyAlignment="1" pivotButton="0" quotePrefix="0" xfId="0">
      <alignment horizontal="center" vertical="center"/>
    </xf>
    <xf numFmtId="0" fontId="15" fillId="3" borderId="0" applyAlignment="1" pivotButton="0" quotePrefix="0" xfId="0">
      <alignment horizontal="right" vertical="center"/>
    </xf>
    <xf numFmtId="165" fontId="17" fillId="9" borderId="0" applyAlignment="1" pivotButton="0" quotePrefix="0" xfId="0">
      <alignment horizontal="center" vertical="center"/>
    </xf>
    <xf numFmtId="0" fontId="15" fillId="16" borderId="2" applyAlignment="1" pivotButton="0" quotePrefix="0" xfId="0">
      <alignment horizontal="center" vertical="center"/>
    </xf>
    <xf numFmtId="3" fontId="0" fillId="5" borderId="3" applyAlignment="1" pivotButton="0" quotePrefix="0" xfId="0">
      <alignment horizontal="center" vertical="center"/>
    </xf>
    <xf numFmtId="3" fontId="0" fillId="6" borderId="3" applyAlignment="1" pivotButton="0" quotePrefix="0" xfId="0">
      <alignment horizontal="center" vertical="center"/>
    </xf>
    <xf numFmtId="165" fontId="17" fillId="16" borderId="0" applyAlignment="1" pivotButton="0" quotePrefix="0" xfId="0">
      <alignment horizontal="center" vertical="center"/>
    </xf>
    <xf numFmtId="0" fontId="15" fillId="15" borderId="2" applyAlignment="1" pivotButton="0" quotePrefix="0" xfId="0">
      <alignment horizontal="center" vertical="center"/>
    </xf>
    <xf numFmtId="1" fontId="0" fillId="5" borderId="3" applyAlignment="1" pivotButton="0" quotePrefix="0" xfId="0">
      <alignment horizontal="center" vertical="center"/>
    </xf>
    <xf numFmtId="1" fontId="0" fillId="6" borderId="3" applyAlignment="1" pivotButton="0" quotePrefix="0" xfId="0">
      <alignment horizontal="center" vertical="center"/>
    </xf>
    <xf numFmtId="0" fontId="11" fillId="4" borderId="3" pivotButton="0" quotePrefix="0" xfId="0"/>
    <xf numFmtId="0" fontId="0" fillId="4" borderId="6" pivotButton="0" quotePrefix="0" xfId="0"/>
    <xf numFmtId="0" fontId="0" fillId="4" borderId="7" pivotButton="0" quotePrefix="0" xfId="0"/>
    <xf numFmtId="165" fontId="26" fillId="12" borderId="3" applyAlignment="1" pivotButton="0" quotePrefix="0" xfId="0">
      <alignment horizontal="center" vertical="center"/>
    </xf>
    <xf numFmtId="0" fontId="0" fillId="12" borderId="6" pivotButton="0" quotePrefix="0" xfId="0"/>
    <xf numFmtId="0" fontId="0" fillId="12" borderId="7" pivotButton="0" quotePrefix="0" xfId="0"/>
    <xf numFmtId="1" fontId="26" fillId="12" borderId="3" applyAlignment="1" pivotButton="0" quotePrefix="0" xfId="0">
      <alignment horizontal="center" vertical="center"/>
    </xf>
    <xf numFmtId="0" fontId="27" fillId="2" borderId="0" applyAlignment="1" pivotButton="0" quotePrefix="0" xfId="0">
      <alignment horizontal="left" vertical="center"/>
    </xf>
    <xf numFmtId="0" fontId="28" fillId="0" borderId="0" pivotButton="0" quotePrefix="0" xfId="0"/>
    <xf numFmtId="1" fontId="29" fillId="12" borderId="8" applyAlignment="1" pivotButton="0" quotePrefix="0" xfId="0">
      <alignment horizontal="center" vertical="center"/>
    </xf>
    <xf numFmtId="0" fontId="5" fillId="0" borderId="0" pivotButton="0" quotePrefix="0" xfId="0"/>
    <xf numFmtId="0" fontId="11" fillId="0" borderId="0" pivotButton="0" quotePrefix="0" xfId="0"/>
    <xf numFmtId="0" fontId="30" fillId="0" borderId="0" pivotButton="0" quotePrefix="0" xfId="0"/>
    <xf numFmtId="165" fontId="31" fillId="4" borderId="0" applyAlignment="1" pivotButton="0" quotePrefix="0" xfId="0">
      <alignment horizontal="center" vertical="center"/>
    </xf>
    <xf numFmtId="165" fontId="32" fillId="4" borderId="0" applyAlignment="1" pivotButton="0" quotePrefix="0" xfId="0">
      <alignment horizontal="center" vertical="center"/>
    </xf>
    <xf numFmtId="165" fontId="33" fillId="4" borderId="0" applyAlignment="1" pivotButton="0" quotePrefix="0" xfId="0">
      <alignment horizontal="center" vertical="center"/>
    </xf>
    <xf numFmtId="1" fontId="34" fillId="4" borderId="0" applyAlignment="1" pivotButton="0" quotePrefix="0" xfId="0">
      <alignment horizontal="center" vertical="center"/>
    </xf>
    <xf numFmtId="0" fontId="4" fillId="12" borderId="3" applyAlignment="1" pivotButton="0" quotePrefix="0" xfId="0">
      <alignment horizontal="left" vertical="center"/>
    </xf>
    <xf numFmtId="0" fontId="13" fillId="12" borderId="3" applyAlignment="1" pivotButton="0" quotePrefix="0" xfId="0">
      <alignment horizontal="left" vertical="center" wrapText="1"/>
    </xf>
    <xf numFmtId="0" fontId="0" fillId="0" borderId="6" pivotButton="0" quotePrefix="0" xfId="0"/>
    <xf numFmtId="0" fontId="0" fillId="0" borderId="7" pivotButton="0" quotePrefix="0" xfId="0"/>
    <xf numFmtId="0" fontId="4" fillId="4" borderId="3" applyAlignment="1" pivotButton="0" quotePrefix="0" xfId="0">
      <alignment horizontal="left" vertical="center"/>
    </xf>
    <xf numFmtId="0" fontId="13" fillId="4" borderId="3" applyAlignment="1" pivotButton="0" quotePrefix="0" xfId="0">
      <alignment horizontal="left" vertical="center" wrapText="1"/>
    </xf>
    <xf numFmtId="0" fontId="5" fillId="0" borderId="0" applyAlignment="1" pivotButton="0" quotePrefix="0" xfId="0">
      <alignment horizontal="center" vertical="center"/>
    </xf>
  </cellXfs>
  <cellStyles count="1">
    <cellStyle name="Normal" xfId="0" builtinId="0" hidden="0"/>
  </cellStyles>
  <dxfs count="2">
    <dxf>
      <font>
        <b val="1"/>
        <color rgb="0010B981"/>
      </font>
    </dxf>
    <dxf>
      <font>
        <b val="1"/>
        <color rgb="00F43F5E"/>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style val="10"/>
  <chart>
    <plotArea>
      <barChart>
        <barDir val="col"/>
        <grouping val="clustered"/>
        <ser>
          <idx val="0"/>
          <order val="0"/>
          <tx>
            <strRef>
              <f>'📊 Dashboard'!C9</f>
            </strRef>
          </tx>
          <spPr>
            <a:solidFill>
              <a:srgbClr val="10B981"/>
            </a:solidFill>
            <a:ln>
              <a:prstDash val="solid"/>
            </a:ln>
          </spPr>
          <cat>
            <numRef>
              <f>'📊 Dashboard'!$B$10:$B$21</f>
            </numRef>
          </cat>
          <val>
            <numRef>
              <f>'📊 Dashboard'!$C$10:$C$21</f>
            </numRef>
          </val>
        </ser>
        <ser>
          <idx val="1"/>
          <order val="1"/>
          <tx>
            <strRef>
              <f>'📊 Dashboard'!D9</f>
            </strRef>
          </tx>
          <spPr>
            <a:solidFill>
              <a:srgbClr val="F43F5E"/>
            </a:solidFill>
            <a:ln>
              <a:prstDash val="solid"/>
            </a:ln>
          </spPr>
          <cat>
            <numRef>
              <f>'📊 Dashboard'!$B$10:$B$21</f>
            </numRef>
          </cat>
          <val>
            <numRef>
              <f>'📊 Dashboard'!$D$10:$D$21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24</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I17"/>
  <sheetViews>
    <sheetView showGridLines="0" workbookViewId="0">
      <selection activeCell="A1" sqref="A1"/>
    </sheetView>
  </sheetViews>
  <sheetFormatPr baseColWidth="8" defaultRowHeight="15"/>
  <cols>
    <col width="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10" customHeight="1"/>
    <row r="2" ht="60" customHeight="1">
      <c r="B2" s="1" t="inlineStr">
        <is>
          <t>💰  FinanzPro</t>
        </is>
      </c>
    </row>
    <row r="3" ht="30" customHeight="1">
      <c r="B3" s="2" t="inlineStr">
        <is>
          <t>Sistema Integral de Finanzas · Negocios · Inventario</t>
        </is>
      </c>
    </row>
    <row r="4" ht="20" customHeight="1">
      <c r="B4" s="3" t="inlineStr">
        <is>
          <t>Versión 2025  ·  Elaborado para uso profesional y personal</t>
        </is>
      </c>
    </row>
    <row r="5" ht="10" customHeight="1"/>
    <row r="6" ht="30" customHeight="1"/>
    <row r="7" ht="28" customHeight="1">
      <c r="B7" s="4" t="inlineStr">
        <is>
          <t>📊 Dashboard</t>
        </is>
      </c>
      <c r="D7" s="5" t="inlineStr">
        <is>
          <t>Ver resumen financiero</t>
        </is>
      </c>
    </row>
    <row r="8" ht="28" customHeight="1">
      <c r="B8" s="6" t="inlineStr">
        <is>
          <t>💳 Transacciones</t>
        </is>
      </c>
      <c r="D8" s="5" t="inlineStr">
        <is>
          <t>Registra ingresos y gastos</t>
        </is>
      </c>
    </row>
    <row r="9" ht="28" customHeight="1">
      <c r="B9" s="7" t="inlineStr">
        <is>
          <t>📦 Inventario</t>
        </is>
      </c>
      <c r="D9" s="5" t="inlineStr">
        <is>
          <t>Control de stock</t>
        </is>
      </c>
    </row>
    <row r="10" ht="28" customHeight="1">
      <c r="B10" s="8" t="inlineStr">
        <is>
          <t>👥 Clientes/Deudas</t>
        </is>
      </c>
      <c r="D10" s="5" t="inlineStr">
        <is>
          <t>Cuentas por cobrar</t>
        </is>
      </c>
    </row>
    <row r="11" ht="28" customHeight="1">
      <c r="B11" s="9" t="inlineStr">
        <is>
          <t>📈 Informe Mensual</t>
        </is>
      </c>
      <c r="D11" s="5" t="inlineStr">
        <is>
          <t>Cierre mes a mes</t>
        </is>
      </c>
    </row>
    <row r="13" ht="16" customHeight="1">
      <c r="B13" s="10" t="inlineStr">
        <is>
          <t xml:space="preserve">  ✏️  DATOS DE LA EMPRESA / NEGOCIO</t>
        </is>
      </c>
    </row>
    <row r="14" ht="22" customHeight="1">
      <c r="B14" s="11" t="inlineStr">
        <is>
          <t>Empresa / Nombre</t>
        </is>
      </c>
      <c r="C14" s="12" t="n"/>
      <c r="D14" s="13" t="inlineStr">
        <is>
          <t>← ingresa aquí</t>
        </is>
      </c>
      <c r="E14" s="12" t="n"/>
      <c r="F14" s="12" t="n"/>
      <c r="G14" s="12" t="n"/>
      <c r="H14" s="12" t="n"/>
      <c r="I14" s="12" t="n"/>
    </row>
    <row r="15" ht="22" customHeight="1">
      <c r="B15" s="11" t="inlineStr">
        <is>
          <t>RUC / NIT / CUIT</t>
        </is>
      </c>
      <c r="C15" s="12" t="n"/>
      <c r="D15" s="13" t="inlineStr">
        <is>
          <t>← ingresa aquí</t>
        </is>
      </c>
      <c r="E15" s="12" t="n"/>
      <c r="F15" s="12" t="n"/>
      <c r="G15" s="12" t="n"/>
      <c r="H15" s="12" t="n"/>
      <c r="I15" s="12" t="n"/>
    </row>
    <row r="16" ht="22" customHeight="1">
      <c r="B16" s="11" t="inlineStr">
        <is>
          <t>Responsable</t>
        </is>
      </c>
      <c r="C16" s="12" t="n"/>
      <c r="D16" s="13" t="inlineStr">
        <is>
          <t>← ingresa aquí</t>
        </is>
      </c>
      <c r="E16" s="12" t="n"/>
      <c r="F16" s="12" t="n"/>
      <c r="G16" s="12" t="n"/>
      <c r="H16" s="12" t="n"/>
      <c r="I16" s="12" t="n"/>
    </row>
    <row r="17" ht="22" customHeight="1">
      <c r="B17" s="11" t="inlineStr">
        <is>
          <t>Año Fiscal</t>
        </is>
      </c>
      <c r="C17" s="12" t="n"/>
      <c r="D17" s="14" t="inlineStr">
        <is>
          <t>2026</t>
        </is>
      </c>
      <c r="E17" s="12" t="n"/>
      <c r="F17" s="12" t="n"/>
      <c r="G17" s="12" t="n"/>
      <c r="H17" s="12" t="n"/>
      <c r="I17" s="12" t="n"/>
    </row>
  </sheetData>
  <mergeCells count="22">
    <mergeCell ref="D11:I11"/>
    <mergeCell ref="B16:C16"/>
    <mergeCell ref="B7:C7"/>
    <mergeCell ref="D17:I17"/>
    <mergeCell ref="B3:I3"/>
    <mergeCell ref="D16:I16"/>
    <mergeCell ref="D7:I7"/>
    <mergeCell ref="B11:C11"/>
    <mergeCell ref="B2:I2"/>
    <mergeCell ref="D9:I9"/>
    <mergeCell ref="B14:C14"/>
    <mergeCell ref="B17:C17"/>
    <mergeCell ref="B8:C8"/>
    <mergeCell ref="D8:I8"/>
    <mergeCell ref="D15:I15"/>
    <mergeCell ref="B13:I13"/>
    <mergeCell ref="D14:I14"/>
    <mergeCell ref="B10:C10"/>
    <mergeCell ref="B9:C9"/>
    <mergeCell ref="D10:I10"/>
    <mergeCell ref="B15:C15"/>
    <mergeCell ref="B4:I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T52"/>
  <sheetViews>
    <sheetView showGridLines="0" workbookViewId="0">
      <selection activeCell="A1" sqref="A1"/>
    </sheetView>
  </sheetViews>
  <sheetFormatPr baseColWidth="8" defaultRowHeight="15"/>
  <cols>
    <col width="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s>
  <sheetData>
    <row r="1" ht="8" customHeight="1"/>
    <row r="2" ht="42" customHeight="1">
      <c r="B2" s="15" t="inlineStr">
        <is>
          <t>📊  DASHBOARD FINANCIERO</t>
        </is>
      </c>
    </row>
    <row r="3" ht="22" customHeight="1">
      <c r="B3" s="16">
        <f>TODAY()</f>
        <v/>
      </c>
    </row>
    <row r="4" ht="10" customHeight="1">
      <c r="B4" s="17" t="n"/>
      <c r="C4" s="17" t="n"/>
      <c r="D4" s="17" t="n"/>
      <c r="E4" s="17" t="n"/>
      <c r="F4" s="17" t="n"/>
      <c r="G4" s="17" t="n"/>
      <c r="H4" s="17" t="n"/>
      <c r="I4" s="17" t="n"/>
      <c r="J4" s="17" t="n"/>
      <c r="K4" s="17" t="n"/>
      <c r="L4" s="17" t="n"/>
      <c r="M4" s="17" t="n"/>
      <c r="N4" s="17" t="n"/>
      <c r="O4" s="17" t="n"/>
      <c r="P4" s="17" t="n"/>
      <c r="Q4" s="17" t="n"/>
      <c r="R4" s="17" t="n"/>
      <c r="S4" s="17" t="n"/>
      <c r="T4" s="17" t="n"/>
    </row>
    <row r="5" ht="24" customHeight="1">
      <c r="B5" s="18" t="inlineStr">
        <is>
          <t>💰 INGRESOS TOTALES</t>
        </is>
      </c>
      <c r="E5" s="19" t="inlineStr">
        <is>
          <t>💸 GASTOS TOTALES</t>
        </is>
      </c>
      <c r="H5" s="20" t="inlineStr">
        <is>
          <t>📈 BALANCE NETO</t>
        </is>
      </c>
      <c r="K5" s="21" t="inlineStr">
        <is>
          <t>📋 N° TRANSACCIONES</t>
        </is>
      </c>
      <c r="N5" s="22" t="inlineStr">
        <is>
          <t>✅ PAGADAS</t>
        </is>
      </c>
    </row>
    <row r="6" ht="36" customHeight="1">
      <c r="B6" s="23">
        <f>SUM('💳 Transacciones'!F3:F302)</f>
        <v/>
      </c>
      <c r="E6" s="24">
        <f>SUM('💳 Transacciones'!G3:G302)</f>
        <v/>
      </c>
      <c r="H6" s="25">
        <f>B6-D6</f>
        <v/>
      </c>
      <c r="K6" s="26">
        <f>COUNTA('💳 Transacciones'!B3:B302)</f>
        <v/>
      </c>
      <c r="N6" s="27">
        <f>COUNTIF('💳 Transacciones'!I3:I302,"Pagado")</f>
        <v/>
      </c>
    </row>
    <row r="7" ht="10" customHeight="1"/>
    <row r="8" ht="24" customHeight="1">
      <c r="B8" s="10" t="inlineStr">
        <is>
          <t xml:space="preserve">  RESUMEN POR MES</t>
        </is>
      </c>
    </row>
    <row r="9" ht="20" customHeight="1">
      <c r="B9" s="28" t="inlineStr">
        <is>
          <t>Mes</t>
        </is>
      </c>
      <c r="C9" s="28" t="inlineStr">
        <is>
          <t>Ingresos</t>
        </is>
      </c>
      <c r="D9" s="28" t="inlineStr">
        <is>
          <t>Gastos</t>
        </is>
      </c>
      <c r="E9" s="28" t="inlineStr">
        <is>
          <t>Balance</t>
        </is>
      </c>
      <c r="F9" s="28" t="inlineStr">
        <is>
          <t>Margen %</t>
        </is>
      </c>
    </row>
    <row r="10" ht="19" customHeight="1">
      <c r="B10" s="29" t="inlineStr">
        <is>
          <t>Enero</t>
        </is>
      </c>
      <c r="C10" s="30">
        <f>SUMPRODUCT((MONTH('💳 Transacciones'!B$3:B$302)=1)*(YEAR('💳 Transacciones'!B$3:B$302)=YEAR(TODAY()))*'💳 Transacciones'!F$3:F$302)</f>
        <v/>
      </c>
      <c r="D10" s="30">
        <f>SUMPRODUCT((MONTH('💳 Transacciones'!B$3:B$302)=1)*(YEAR('💳 Transacciones'!B$3:B$302)=YEAR(TODAY()))*'💳 Transacciones'!G$3:G$302)</f>
        <v/>
      </c>
      <c r="E10" s="30">
        <f>C10-D10</f>
        <v/>
      </c>
      <c r="F10" s="31">
        <f>IFERROR((C10-D10)/C10,0)</f>
        <v/>
      </c>
    </row>
    <row r="11" ht="19" customHeight="1">
      <c r="B11" s="32" t="inlineStr">
        <is>
          <t>Febrero</t>
        </is>
      </c>
      <c r="C11" s="33">
        <f>SUMPRODUCT((MONTH('💳 Transacciones'!B$3:B$302)=2)*(YEAR('💳 Transacciones'!B$3:B$302)=YEAR(TODAY()))*'💳 Transacciones'!F$3:F$302)</f>
        <v/>
      </c>
      <c r="D11" s="33">
        <f>SUMPRODUCT((MONTH('💳 Transacciones'!B$3:B$302)=2)*(YEAR('💳 Transacciones'!B$3:B$302)=YEAR(TODAY()))*'💳 Transacciones'!G$3:G$302)</f>
        <v/>
      </c>
      <c r="E11" s="33">
        <f>C11-D11</f>
        <v/>
      </c>
      <c r="F11" s="34">
        <f>IFERROR((C11-D11)/C11,0)</f>
        <v/>
      </c>
    </row>
    <row r="12" ht="19" customHeight="1">
      <c r="B12" s="29" t="inlineStr">
        <is>
          <t>Marzo</t>
        </is>
      </c>
      <c r="C12" s="30">
        <f>SUMPRODUCT((MONTH('💳 Transacciones'!B$3:B$302)=3)*(YEAR('💳 Transacciones'!B$3:B$302)=YEAR(TODAY()))*'💳 Transacciones'!F$3:F$302)</f>
        <v/>
      </c>
      <c r="D12" s="30">
        <f>SUMPRODUCT((MONTH('💳 Transacciones'!B$3:B$302)=3)*(YEAR('💳 Transacciones'!B$3:B$302)=YEAR(TODAY()))*'💳 Transacciones'!G$3:G$302)</f>
        <v/>
      </c>
      <c r="E12" s="30">
        <f>C12-D12</f>
        <v/>
      </c>
      <c r="F12" s="31">
        <f>IFERROR((C12-D12)/C12,0)</f>
        <v/>
      </c>
    </row>
    <row r="13" ht="19" customHeight="1">
      <c r="B13" s="32" t="inlineStr">
        <is>
          <t>Abril</t>
        </is>
      </c>
      <c r="C13" s="33">
        <f>SUMPRODUCT((MONTH('💳 Transacciones'!B$3:B$302)=4)*(YEAR('💳 Transacciones'!B$3:B$302)=YEAR(TODAY()))*'💳 Transacciones'!F$3:F$302)</f>
        <v/>
      </c>
      <c r="D13" s="33">
        <f>SUMPRODUCT((MONTH('💳 Transacciones'!B$3:B$302)=4)*(YEAR('💳 Transacciones'!B$3:B$302)=YEAR(TODAY()))*'💳 Transacciones'!G$3:G$302)</f>
        <v/>
      </c>
      <c r="E13" s="33">
        <f>C13-D13</f>
        <v/>
      </c>
      <c r="F13" s="34">
        <f>IFERROR((C13-D13)/C13,0)</f>
        <v/>
      </c>
    </row>
    <row r="14" ht="19" customHeight="1">
      <c r="B14" s="29" t="inlineStr">
        <is>
          <t>Mayo</t>
        </is>
      </c>
      <c r="C14" s="30">
        <f>SUMPRODUCT((MONTH('💳 Transacciones'!B$3:B$302)=5)*(YEAR('💳 Transacciones'!B$3:B$302)=YEAR(TODAY()))*'💳 Transacciones'!F$3:F$302)</f>
        <v/>
      </c>
      <c r="D14" s="30">
        <f>SUMPRODUCT((MONTH('💳 Transacciones'!B$3:B$302)=5)*(YEAR('💳 Transacciones'!B$3:B$302)=YEAR(TODAY()))*'💳 Transacciones'!G$3:G$302)</f>
        <v/>
      </c>
      <c r="E14" s="30">
        <f>C14-D14</f>
        <v/>
      </c>
      <c r="F14" s="31">
        <f>IFERROR((C14-D14)/C14,0)</f>
        <v/>
      </c>
    </row>
    <row r="15" ht="19" customHeight="1">
      <c r="B15" s="32" t="inlineStr">
        <is>
          <t>Junio</t>
        </is>
      </c>
      <c r="C15" s="33">
        <f>SUMPRODUCT((MONTH('💳 Transacciones'!B$3:B$302)=6)*(YEAR('💳 Transacciones'!B$3:B$302)=YEAR(TODAY()))*'💳 Transacciones'!F$3:F$302)</f>
        <v/>
      </c>
      <c r="D15" s="33">
        <f>SUMPRODUCT((MONTH('💳 Transacciones'!B$3:B$302)=6)*(YEAR('💳 Transacciones'!B$3:B$302)=YEAR(TODAY()))*'💳 Transacciones'!G$3:G$302)</f>
        <v/>
      </c>
      <c r="E15" s="33">
        <f>C15-D15</f>
        <v/>
      </c>
      <c r="F15" s="34">
        <f>IFERROR((C15-D15)/C15,0)</f>
        <v/>
      </c>
    </row>
    <row r="16" ht="19" customHeight="1">
      <c r="B16" s="29" t="inlineStr">
        <is>
          <t>Julio</t>
        </is>
      </c>
      <c r="C16" s="30">
        <f>SUMPRODUCT((MONTH('💳 Transacciones'!B$3:B$302)=7)*(YEAR('💳 Transacciones'!B$3:B$302)=YEAR(TODAY()))*'💳 Transacciones'!F$3:F$302)</f>
        <v/>
      </c>
      <c r="D16" s="30">
        <f>SUMPRODUCT((MONTH('💳 Transacciones'!B$3:B$302)=7)*(YEAR('💳 Transacciones'!B$3:B$302)=YEAR(TODAY()))*'💳 Transacciones'!G$3:G$302)</f>
        <v/>
      </c>
      <c r="E16" s="30">
        <f>C16-D16</f>
        <v/>
      </c>
      <c r="F16" s="31">
        <f>IFERROR((C16-D16)/C16,0)</f>
        <v/>
      </c>
    </row>
    <row r="17" ht="19" customHeight="1">
      <c r="B17" s="32" t="inlineStr">
        <is>
          <t>Agosto</t>
        </is>
      </c>
      <c r="C17" s="33">
        <f>SUMPRODUCT((MONTH('💳 Transacciones'!B$3:B$302)=8)*(YEAR('💳 Transacciones'!B$3:B$302)=YEAR(TODAY()))*'💳 Transacciones'!F$3:F$302)</f>
        <v/>
      </c>
      <c r="D17" s="33">
        <f>SUMPRODUCT((MONTH('💳 Transacciones'!B$3:B$302)=8)*(YEAR('💳 Transacciones'!B$3:B$302)=YEAR(TODAY()))*'💳 Transacciones'!G$3:G$302)</f>
        <v/>
      </c>
      <c r="E17" s="33">
        <f>C17-D17</f>
        <v/>
      </c>
      <c r="F17" s="34">
        <f>IFERROR((C17-D17)/C17,0)</f>
        <v/>
      </c>
    </row>
    <row r="18" ht="19" customHeight="1">
      <c r="B18" s="29" t="inlineStr">
        <is>
          <t>Septiembre</t>
        </is>
      </c>
      <c r="C18" s="30">
        <f>SUMPRODUCT((MONTH('💳 Transacciones'!B$3:B$302)=9)*(YEAR('💳 Transacciones'!B$3:B$302)=YEAR(TODAY()))*'💳 Transacciones'!F$3:F$302)</f>
        <v/>
      </c>
      <c r="D18" s="30">
        <f>SUMPRODUCT((MONTH('💳 Transacciones'!B$3:B$302)=9)*(YEAR('💳 Transacciones'!B$3:B$302)=YEAR(TODAY()))*'💳 Transacciones'!G$3:G$302)</f>
        <v/>
      </c>
      <c r="E18" s="30">
        <f>C18-D18</f>
        <v/>
      </c>
      <c r="F18" s="31">
        <f>IFERROR((C18-D18)/C18,0)</f>
        <v/>
      </c>
    </row>
    <row r="19" ht="19" customHeight="1">
      <c r="B19" s="32" t="inlineStr">
        <is>
          <t>Octubre</t>
        </is>
      </c>
      <c r="C19" s="33">
        <f>SUMPRODUCT((MONTH('💳 Transacciones'!B$3:B$302)=10)*(YEAR('💳 Transacciones'!B$3:B$302)=YEAR(TODAY()))*'💳 Transacciones'!F$3:F$302)</f>
        <v/>
      </c>
      <c r="D19" s="33">
        <f>SUMPRODUCT((MONTH('💳 Transacciones'!B$3:B$302)=10)*(YEAR('💳 Transacciones'!B$3:B$302)=YEAR(TODAY()))*'💳 Transacciones'!G$3:G$302)</f>
        <v/>
      </c>
      <c r="E19" s="33">
        <f>C19-D19</f>
        <v/>
      </c>
      <c r="F19" s="34">
        <f>IFERROR((C19-D19)/C19,0)</f>
        <v/>
      </c>
    </row>
    <row r="20" ht="19" customHeight="1">
      <c r="B20" s="29" t="inlineStr">
        <is>
          <t>Noviembre</t>
        </is>
      </c>
      <c r="C20" s="30">
        <f>SUMPRODUCT((MONTH('💳 Transacciones'!B$3:B$302)=11)*(YEAR('💳 Transacciones'!B$3:B$302)=YEAR(TODAY()))*'💳 Transacciones'!F$3:F$302)</f>
        <v/>
      </c>
      <c r="D20" s="30">
        <f>SUMPRODUCT((MONTH('💳 Transacciones'!B$3:B$302)=11)*(YEAR('💳 Transacciones'!B$3:B$302)=YEAR(TODAY()))*'💳 Transacciones'!G$3:G$302)</f>
        <v/>
      </c>
      <c r="E20" s="30">
        <f>C20-D20</f>
        <v/>
      </c>
      <c r="F20" s="31">
        <f>IFERROR((C20-D20)/C20,0)</f>
        <v/>
      </c>
    </row>
    <row r="21" ht="19" customHeight="1">
      <c r="B21" s="32" t="inlineStr">
        <is>
          <t>Diciembre</t>
        </is>
      </c>
      <c r="C21" s="33">
        <f>SUMPRODUCT((MONTH('💳 Transacciones'!B$3:B$302)=12)*(YEAR('💳 Transacciones'!B$3:B$302)=YEAR(TODAY()))*'💳 Transacciones'!F$3:F$302)</f>
        <v/>
      </c>
      <c r="D21" s="33">
        <f>SUMPRODUCT((MONTH('💳 Transacciones'!B$3:B$302)=12)*(YEAR('💳 Transacciones'!B$3:B$302)=YEAR(TODAY()))*'💳 Transacciones'!G$3:G$302)</f>
        <v/>
      </c>
      <c r="E21" s="33">
        <f>C21-D21</f>
        <v/>
      </c>
      <c r="F21" s="34">
        <f>IFERROR((C21-D21)/C21,0)</f>
        <v/>
      </c>
    </row>
    <row r="22" ht="22" customHeight="1">
      <c r="B22" s="35" t="inlineStr">
        <is>
          <t>TOTAL AÑO</t>
        </is>
      </c>
      <c r="C22" s="36">
        <f>SUM(C10:C21)</f>
        <v/>
      </c>
      <c r="D22" s="36">
        <f>SUM(D10:D21)</f>
        <v/>
      </c>
      <c r="E22" s="36">
        <f>SUM(E10:E21)</f>
        <v/>
      </c>
      <c r="F22" s="37">
        <f>IFERROR(E22/C22,0)</f>
        <v/>
      </c>
    </row>
    <row r="23" ht="18" customHeight="1"/>
    <row r="24" ht="20" customHeight="1">
      <c r="I24" s="10" t="inlineStr">
        <is>
          <t xml:space="preserve">  GRÁFICO INGRESOS vs GASTOS</t>
        </is>
      </c>
    </row>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c r="B40" s="10" t="inlineStr">
        <is>
          <t xml:space="preserve">  TOP CATEGORÍAS DE GASTO</t>
        </is>
      </c>
    </row>
    <row r="41" ht="20" customHeight="1">
      <c r="B41" s="38" t="inlineStr">
        <is>
          <t>Categoría</t>
        </is>
      </c>
      <c r="C41" s="38" t="inlineStr">
        <is>
          <t>Total Gasto</t>
        </is>
      </c>
      <c r="D41" s="38" t="inlineStr">
        <is>
          <t>% del Total</t>
        </is>
      </c>
    </row>
    <row r="42" ht="18" customHeight="1">
      <c r="B42" s="39" t="inlineStr">
        <is>
          <t>Compra de Mercadería</t>
        </is>
      </c>
      <c r="C42" s="30">
        <f>SUMPRODUCT(('💳 Transacciones'!$E$3:$E$302="Compra de Mercadería")*'💳 Transacciones'!$G$3:$G$302)</f>
        <v/>
      </c>
      <c r="D42" s="31">
        <f>IFERROR(C42/SUM($C$42:$C$52),0)</f>
        <v/>
      </c>
    </row>
    <row r="43" ht="18" customHeight="1">
      <c r="B43" s="40" t="inlineStr">
        <is>
          <t>Sueldos y Salarios</t>
        </is>
      </c>
      <c r="C43" s="33">
        <f>SUMPRODUCT(('💳 Transacciones'!$E$3:$E$302="Sueldos y Salarios")*'💳 Transacciones'!$G$3:$G$302)</f>
        <v/>
      </c>
      <c r="D43" s="34">
        <f>IFERROR(C43/SUM($C$42:$C$52),0)</f>
        <v/>
      </c>
    </row>
    <row r="44" ht="18" customHeight="1">
      <c r="B44" s="39" t="inlineStr">
        <is>
          <t>Alquiler Local</t>
        </is>
      </c>
      <c r="C44" s="30">
        <f>SUMPRODUCT(('💳 Transacciones'!$E$3:$E$302="Alquiler Local")*'💳 Transacciones'!$G$3:$G$302)</f>
        <v/>
      </c>
      <c r="D44" s="31">
        <f>IFERROR(C44/SUM($C$42:$C$52),0)</f>
        <v/>
      </c>
    </row>
    <row r="45" ht="18" customHeight="1">
      <c r="B45" s="40" t="inlineStr">
        <is>
          <t>Servicios (Agua/Luz/Internet)</t>
        </is>
      </c>
      <c r="C45" s="33">
        <f>SUMPRODUCT(('💳 Transacciones'!$E$3:$E$302="Servicios (Agua/Luz/Internet)")*'💳 Transacciones'!$G$3:$G$302)</f>
        <v/>
      </c>
      <c r="D45" s="34">
        <f>IFERROR(C45/SUM($C$42:$C$52),0)</f>
        <v/>
      </c>
    </row>
    <row r="46" ht="18" customHeight="1">
      <c r="B46" s="39" t="inlineStr">
        <is>
          <t>Publicidad y Marketing</t>
        </is>
      </c>
      <c r="C46" s="30">
        <f>SUMPRODUCT(('💳 Transacciones'!$E$3:$E$302="Publicidad y Marketing")*'💳 Transacciones'!$G$3:$G$302)</f>
        <v/>
      </c>
      <c r="D46" s="31">
        <f>IFERROR(C46/SUM($C$42:$C$52),0)</f>
        <v/>
      </c>
    </row>
    <row r="47" ht="18" customHeight="1">
      <c r="B47" s="40" t="inlineStr">
        <is>
          <t>Transporte y Envíos</t>
        </is>
      </c>
      <c r="C47" s="33">
        <f>SUMPRODUCT(('💳 Transacciones'!$E$3:$E$302="Transporte y Envíos")*'💳 Transacciones'!$G$3:$G$302)</f>
        <v/>
      </c>
      <c r="D47" s="34">
        <f>IFERROR(C47/SUM($C$42:$C$52),0)</f>
        <v/>
      </c>
    </row>
    <row r="48" ht="18" customHeight="1">
      <c r="B48" s="39" t="inlineStr">
        <is>
          <t>Mantenimiento</t>
        </is>
      </c>
      <c r="C48" s="30">
        <f>SUMPRODUCT(('💳 Transacciones'!$E$3:$E$302="Mantenimiento")*'💳 Transacciones'!$G$3:$G$302)</f>
        <v/>
      </c>
      <c r="D48" s="31">
        <f>IFERROR(C48/SUM($C$42:$C$52),0)</f>
        <v/>
      </c>
    </row>
    <row r="49" ht="18" customHeight="1">
      <c r="B49" s="40" t="inlineStr">
        <is>
          <t>Impuestos y Tributos</t>
        </is>
      </c>
      <c r="C49" s="33">
        <f>SUMPRODUCT(('💳 Transacciones'!$E$3:$E$302="Impuestos y Tributos")*'💳 Transacciones'!$G$3:$G$302)</f>
        <v/>
      </c>
      <c r="D49" s="34">
        <f>IFERROR(C49/SUM($C$42:$C$52),0)</f>
        <v/>
      </c>
    </row>
    <row r="50" ht="18" customHeight="1">
      <c r="B50" s="39" t="inlineStr">
        <is>
          <t>Materiales y Suministros</t>
        </is>
      </c>
      <c r="C50" s="30">
        <f>SUMPRODUCT(('💳 Transacciones'!$E$3:$E$302="Materiales y Suministros")*'💳 Transacciones'!$G$3:$G$302)</f>
        <v/>
      </c>
      <c r="D50" s="31">
        <f>IFERROR(C50/SUM($C$42:$C$52),0)</f>
        <v/>
      </c>
    </row>
    <row r="51" ht="18" customHeight="1">
      <c r="B51" s="40" t="inlineStr">
        <is>
          <t>Préstamo / Cuota</t>
        </is>
      </c>
      <c r="C51" s="33">
        <f>SUMPRODUCT(('💳 Transacciones'!$E$3:$E$302="Préstamo / Cuota")*'💳 Transacciones'!$G$3:$G$302)</f>
        <v/>
      </c>
      <c r="D51" s="34">
        <f>IFERROR(C51/SUM($C$42:$C$52),0)</f>
        <v/>
      </c>
    </row>
    <row r="52" ht="18" customHeight="1">
      <c r="B52" s="39" t="inlineStr">
        <is>
          <t>Otros Gastos</t>
        </is>
      </c>
      <c r="C52" s="30">
        <f>SUMPRODUCT(('💳 Transacciones'!$E$3:$E$302="Otros Gastos")*'💳 Transacciones'!$G$3:$G$302)</f>
        <v/>
      </c>
      <c r="D52" s="31">
        <f>IFERROR(C52/SUM($C$42:$C$52),0)</f>
        <v/>
      </c>
    </row>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sheetData>
  <mergeCells count="15">
    <mergeCell ref="B3:T3"/>
    <mergeCell ref="B5:D5"/>
    <mergeCell ref="B40:H40"/>
    <mergeCell ref="I24:T24"/>
    <mergeCell ref="E5:G5"/>
    <mergeCell ref="K5:M5"/>
    <mergeCell ref="H5:J5"/>
    <mergeCell ref="K6:M6"/>
    <mergeCell ref="N6:P6"/>
    <mergeCell ref="N5:P5"/>
    <mergeCell ref="B8:L8"/>
    <mergeCell ref="B6:D6"/>
    <mergeCell ref="B2:T2"/>
    <mergeCell ref="E6:G6"/>
    <mergeCell ref="H6:J6"/>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303"/>
  <sheetViews>
    <sheetView showGridLines="0" workbookViewId="0">
      <pane ySplit="2" topLeftCell="A3" activePane="bottomLeft" state="frozen"/>
      <selection pane="bottomLeft" activeCell="A1" sqref="A1"/>
    </sheetView>
  </sheetViews>
  <sheetFormatPr baseColWidth="8" defaultRowHeight="15"/>
  <cols>
    <col width="5" customWidth="1" min="1" max="1"/>
    <col width="12" customWidth="1" min="2" max="2"/>
    <col width="10" customWidth="1" min="3" max="3"/>
    <col width="28" customWidth="1" min="4" max="4"/>
    <col width="22" customWidth="1" min="5" max="5"/>
    <col width="14" customWidth="1" min="6" max="6"/>
    <col width="14" customWidth="1" min="7" max="7"/>
    <col width="14" customWidth="1" min="8" max="8"/>
    <col width="14" customWidth="1" min="9" max="9"/>
    <col width="12" customWidth="1" min="10" max="10"/>
    <col width="18" customWidth="1" min="11" max="11"/>
    <col width="20" customWidth="1" min="12" max="12"/>
  </cols>
  <sheetData>
    <row r="1" ht="32" customHeight="1">
      <c r="A1" s="41" t="inlineStr">
        <is>
          <t>💳  REGISTRO DE TRANSACCIONES</t>
        </is>
      </c>
    </row>
    <row r="2" ht="22" customHeight="1">
      <c r="A2" s="28" t="inlineStr">
        <is>
          <t>#</t>
        </is>
      </c>
      <c r="B2" s="28" t="inlineStr">
        <is>
          <t>Fecha</t>
        </is>
      </c>
      <c r="C2" s="28" t="inlineStr">
        <is>
          <t>Tipo</t>
        </is>
      </c>
      <c r="D2" s="28" t="inlineStr">
        <is>
          <t>Descripción</t>
        </is>
      </c>
      <c r="E2" s="28" t="inlineStr">
        <is>
          <t>Categoría</t>
        </is>
      </c>
      <c r="F2" s="28" t="inlineStr">
        <is>
          <t>Ingreso</t>
        </is>
      </c>
      <c r="G2" s="28" t="inlineStr">
        <is>
          <t>Gasto</t>
        </is>
      </c>
      <c r="H2" s="28" t="inlineStr">
        <is>
          <t>Método de Pago</t>
        </is>
      </c>
      <c r="I2" s="28" t="inlineStr">
        <is>
          <t>Estado</t>
        </is>
      </c>
      <c r="J2" s="28" t="inlineStr">
        <is>
          <t>Comprobante</t>
        </is>
      </c>
      <c r="K2" s="28" t="inlineStr">
        <is>
          <t>Referencia</t>
        </is>
      </c>
      <c r="L2" s="28" t="inlineStr">
        <is>
          <t>Notas</t>
        </is>
      </c>
    </row>
    <row r="3" ht="18" customHeight="1">
      <c r="A3" s="42" t="n">
        <v>1</v>
      </c>
      <c r="B3" s="43" t="n"/>
      <c r="C3" s="44" t="n"/>
      <c r="D3" s="45" t="n"/>
      <c r="E3" s="45" t="n"/>
      <c r="F3" s="46" t="n"/>
      <c r="G3" s="46" t="n"/>
      <c r="H3" s="45" t="n"/>
      <c r="I3" s="44" t="n"/>
      <c r="J3" s="45" t="n"/>
      <c r="K3" s="45" t="n"/>
      <c r="L3" s="45" t="n"/>
    </row>
    <row r="4" ht="18" customHeight="1">
      <c r="A4" s="42" t="n">
        <v>2</v>
      </c>
      <c r="B4" s="47" t="n"/>
      <c r="C4" s="48" t="n"/>
      <c r="D4" s="49" t="n"/>
      <c r="E4" s="49" t="n"/>
      <c r="F4" s="50" t="n"/>
      <c r="G4" s="50" t="n"/>
      <c r="H4" s="49" t="n"/>
      <c r="I4" s="48" t="n"/>
      <c r="J4" s="49" t="n"/>
      <c r="K4" s="49" t="n"/>
      <c r="L4" s="49" t="n"/>
    </row>
    <row r="5" ht="18" customHeight="1">
      <c r="A5" s="42" t="n">
        <v>3</v>
      </c>
      <c r="B5" s="43" t="n"/>
      <c r="C5" s="44" t="n"/>
      <c r="D5" s="45" t="n"/>
      <c r="E5" s="45" t="n"/>
      <c r="F5" s="46" t="n"/>
      <c r="G5" s="46" t="n"/>
      <c r="H5" s="45" t="n"/>
      <c r="I5" s="44" t="n"/>
      <c r="J5" s="45" t="n"/>
      <c r="K5" s="45" t="n"/>
      <c r="L5" s="45" t="n"/>
    </row>
    <row r="6" ht="18" customHeight="1">
      <c r="A6" s="42" t="n">
        <v>4</v>
      </c>
      <c r="B6" s="47" t="n"/>
      <c r="C6" s="48" t="n"/>
      <c r="D6" s="49" t="n"/>
      <c r="E6" s="49" t="n"/>
      <c r="F6" s="50" t="n"/>
      <c r="G6" s="50" t="n"/>
      <c r="H6" s="49" t="n"/>
      <c r="I6" s="48" t="n"/>
      <c r="J6" s="49" t="n"/>
      <c r="K6" s="49" t="n"/>
      <c r="L6" s="49" t="n"/>
    </row>
    <row r="7" ht="18" customHeight="1">
      <c r="A7" s="42" t="n">
        <v>5</v>
      </c>
      <c r="B7" s="43" t="n"/>
      <c r="C7" s="44" t="n"/>
      <c r="D7" s="45" t="n"/>
      <c r="E7" s="45" t="n"/>
      <c r="F7" s="46" t="n"/>
      <c r="G7" s="46" t="n"/>
      <c r="H7" s="45" t="n"/>
      <c r="I7" s="44" t="n"/>
      <c r="J7" s="45" t="n"/>
      <c r="K7" s="45" t="n"/>
      <c r="L7" s="45" t="n"/>
    </row>
    <row r="8" ht="18" customHeight="1">
      <c r="A8" s="42" t="n">
        <v>6</v>
      </c>
      <c r="B8" s="47" t="n"/>
      <c r="C8" s="48" t="n"/>
      <c r="D8" s="49" t="n"/>
      <c r="E8" s="49" t="n"/>
      <c r="F8" s="50" t="n"/>
      <c r="G8" s="50" t="n"/>
      <c r="H8" s="49" t="n"/>
      <c r="I8" s="48" t="n"/>
      <c r="J8" s="49" t="n"/>
      <c r="K8" s="49" t="n"/>
      <c r="L8" s="49" t="n"/>
    </row>
    <row r="9" ht="18" customHeight="1">
      <c r="A9" s="42" t="n">
        <v>7</v>
      </c>
      <c r="B9" s="43" t="n"/>
      <c r="C9" s="44" t="n"/>
      <c r="D9" s="45" t="n"/>
      <c r="E9" s="45" t="n"/>
      <c r="F9" s="46" t="n"/>
      <c r="G9" s="46" t="n"/>
      <c r="H9" s="45" t="n"/>
      <c r="I9" s="44" t="n"/>
      <c r="J9" s="45" t="n"/>
      <c r="K9" s="45" t="n"/>
      <c r="L9" s="45" t="n"/>
    </row>
    <row r="10" ht="18" customHeight="1">
      <c r="A10" s="42" t="n">
        <v>8</v>
      </c>
      <c r="B10" s="47" t="n"/>
      <c r="C10" s="48" t="n"/>
      <c r="D10" s="49" t="n"/>
      <c r="E10" s="49" t="n"/>
      <c r="F10" s="50" t="n"/>
      <c r="G10" s="50" t="n"/>
      <c r="H10" s="49" t="n"/>
      <c r="I10" s="48" t="n"/>
      <c r="J10" s="49" t="n"/>
      <c r="K10" s="49" t="n"/>
      <c r="L10" s="49" t="n"/>
    </row>
    <row r="11" ht="18" customHeight="1">
      <c r="A11" s="42" t="n">
        <v>9</v>
      </c>
      <c r="B11" s="43" t="n"/>
      <c r="C11" s="44" t="n"/>
      <c r="D11" s="45" t="n"/>
      <c r="E11" s="45" t="n"/>
      <c r="F11" s="46" t="n"/>
      <c r="G11" s="46" t="n"/>
      <c r="H11" s="45" t="n"/>
      <c r="I11" s="44" t="n"/>
      <c r="J11" s="45" t="n"/>
      <c r="K11" s="45" t="n"/>
      <c r="L11" s="45" t="n"/>
    </row>
    <row r="12" ht="18" customHeight="1">
      <c r="A12" s="42" t="n">
        <v>10</v>
      </c>
      <c r="B12" s="47" t="n"/>
      <c r="C12" s="48" t="n"/>
      <c r="D12" s="49" t="n"/>
      <c r="E12" s="49" t="n"/>
      <c r="F12" s="50" t="n"/>
      <c r="G12" s="50" t="n"/>
      <c r="H12" s="49" t="n"/>
      <c r="I12" s="48" t="n"/>
      <c r="J12" s="49" t="n"/>
      <c r="K12" s="49" t="n"/>
      <c r="L12" s="49" t="n"/>
    </row>
    <row r="13" ht="18" customHeight="1">
      <c r="A13" s="42" t="n">
        <v>11</v>
      </c>
      <c r="B13" s="43" t="n"/>
      <c r="C13" s="44" t="n"/>
      <c r="D13" s="45" t="n"/>
      <c r="E13" s="45" t="n"/>
      <c r="F13" s="46" t="n"/>
      <c r="G13" s="46" t="n"/>
      <c r="H13" s="45" t="n"/>
      <c r="I13" s="44" t="n"/>
      <c r="J13" s="45" t="n"/>
      <c r="K13" s="45" t="n"/>
      <c r="L13" s="45" t="n"/>
    </row>
    <row r="14" ht="18" customHeight="1">
      <c r="A14" s="42" t="n">
        <v>12</v>
      </c>
      <c r="B14" s="47" t="n"/>
      <c r="C14" s="48" t="n"/>
      <c r="D14" s="49" t="n"/>
      <c r="E14" s="49" t="n"/>
      <c r="F14" s="50" t="n"/>
      <c r="G14" s="50" t="n"/>
      <c r="H14" s="49" t="n"/>
      <c r="I14" s="48" t="n"/>
      <c r="J14" s="49" t="n"/>
      <c r="K14" s="49" t="n"/>
      <c r="L14" s="49" t="n"/>
    </row>
    <row r="15" ht="18" customHeight="1">
      <c r="A15" s="42" t="n">
        <v>13</v>
      </c>
      <c r="B15" s="43" t="n"/>
      <c r="C15" s="44" t="n"/>
      <c r="D15" s="45" t="n"/>
      <c r="E15" s="45" t="n"/>
      <c r="F15" s="46" t="n"/>
      <c r="G15" s="46" t="n"/>
      <c r="H15" s="45" t="n"/>
      <c r="I15" s="44" t="n"/>
      <c r="J15" s="45" t="n"/>
      <c r="K15" s="45" t="n"/>
      <c r="L15" s="45" t="n"/>
    </row>
    <row r="16" ht="18" customHeight="1">
      <c r="A16" s="42" t="n">
        <v>14</v>
      </c>
      <c r="B16" s="47" t="n"/>
      <c r="C16" s="48" t="n"/>
      <c r="D16" s="49" t="n"/>
      <c r="E16" s="49" t="n"/>
      <c r="F16" s="50" t="n"/>
      <c r="G16" s="50" t="n"/>
      <c r="H16" s="49" t="n"/>
      <c r="I16" s="48" t="n"/>
      <c r="J16" s="49" t="n"/>
      <c r="K16" s="49" t="n"/>
      <c r="L16" s="49" t="n"/>
    </row>
    <row r="17" ht="18" customHeight="1">
      <c r="A17" s="42" t="n">
        <v>15</v>
      </c>
      <c r="B17" s="43" t="n"/>
      <c r="C17" s="44" t="n"/>
      <c r="D17" s="45" t="n"/>
      <c r="E17" s="45" t="n"/>
      <c r="F17" s="46" t="n"/>
      <c r="G17" s="46" t="n"/>
      <c r="H17" s="45" t="n"/>
      <c r="I17" s="44" t="n"/>
      <c r="J17" s="45" t="n"/>
      <c r="K17" s="45" t="n"/>
      <c r="L17" s="45" t="n"/>
    </row>
    <row r="18" ht="18" customHeight="1">
      <c r="A18" s="42" t="n">
        <v>16</v>
      </c>
      <c r="B18" s="47" t="n"/>
      <c r="C18" s="48" t="n"/>
      <c r="D18" s="49" t="n"/>
      <c r="E18" s="49" t="n"/>
      <c r="F18" s="50" t="n"/>
      <c r="G18" s="50" t="n"/>
      <c r="H18" s="49" t="n"/>
      <c r="I18" s="48" t="n"/>
      <c r="J18" s="49" t="n"/>
      <c r="K18" s="49" t="n"/>
      <c r="L18" s="49" t="n"/>
    </row>
    <row r="19" ht="18" customHeight="1">
      <c r="A19" s="42" t="n">
        <v>17</v>
      </c>
      <c r="B19" s="43" t="n"/>
      <c r="C19" s="44" t="n"/>
      <c r="D19" s="45" t="n"/>
      <c r="E19" s="45" t="n"/>
      <c r="F19" s="46" t="n"/>
      <c r="G19" s="46" t="n"/>
      <c r="H19" s="45" t="n"/>
      <c r="I19" s="44" t="n"/>
      <c r="J19" s="45" t="n"/>
      <c r="K19" s="45" t="n"/>
      <c r="L19" s="45" t="n"/>
    </row>
    <row r="20" ht="18" customHeight="1">
      <c r="A20" s="42" t="n">
        <v>18</v>
      </c>
      <c r="B20" s="47" t="n"/>
      <c r="C20" s="48" t="n"/>
      <c r="D20" s="49" t="n"/>
      <c r="E20" s="49" t="n"/>
      <c r="F20" s="50" t="n"/>
      <c r="G20" s="50" t="n"/>
      <c r="H20" s="49" t="n"/>
      <c r="I20" s="48" t="n"/>
      <c r="J20" s="49" t="n"/>
      <c r="K20" s="49" t="n"/>
      <c r="L20" s="49" t="n"/>
    </row>
    <row r="21" ht="18" customHeight="1">
      <c r="A21" s="42" t="n">
        <v>19</v>
      </c>
      <c r="B21" s="43" t="n"/>
      <c r="C21" s="44" t="n"/>
      <c r="D21" s="45" t="n"/>
      <c r="E21" s="45" t="n"/>
      <c r="F21" s="46" t="n"/>
      <c r="G21" s="46" t="n"/>
      <c r="H21" s="45" t="n"/>
      <c r="I21" s="44" t="n"/>
      <c r="J21" s="45" t="n"/>
      <c r="K21" s="45" t="n"/>
      <c r="L21" s="45" t="n"/>
    </row>
    <row r="22" ht="18" customHeight="1">
      <c r="A22" s="42" t="n">
        <v>20</v>
      </c>
      <c r="B22" s="47" t="n"/>
      <c r="C22" s="48" t="n"/>
      <c r="D22" s="49" t="n"/>
      <c r="E22" s="49" t="n"/>
      <c r="F22" s="50" t="n"/>
      <c r="G22" s="50" t="n"/>
      <c r="H22" s="49" t="n"/>
      <c r="I22" s="48" t="n"/>
      <c r="J22" s="49" t="n"/>
      <c r="K22" s="49" t="n"/>
      <c r="L22" s="49" t="n"/>
    </row>
    <row r="23" ht="18" customHeight="1">
      <c r="A23" s="42" t="n">
        <v>21</v>
      </c>
      <c r="B23" s="43" t="n"/>
      <c r="C23" s="44" t="n"/>
      <c r="D23" s="45" t="n"/>
      <c r="E23" s="45" t="n"/>
      <c r="F23" s="46" t="n"/>
      <c r="G23" s="46" t="n"/>
      <c r="H23" s="45" t="n"/>
      <c r="I23" s="44" t="n"/>
      <c r="J23" s="45" t="n"/>
      <c r="K23" s="45" t="n"/>
      <c r="L23" s="45" t="n"/>
    </row>
    <row r="24" ht="18" customHeight="1">
      <c r="A24" s="42" t="n">
        <v>22</v>
      </c>
      <c r="B24" s="47" t="n"/>
      <c r="C24" s="48" t="n"/>
      <c r="D24" s="49" t="n"/>
      <c r="E24" s="49" t="n"/>
      <c r="F24" s="50" t="n"/>
      <c r="G24" s="50" t="n"/>
      <c r="H24" s="49" t="n"/>
      <c r="I24" s="48" t="n"/>
      <c r="J24" s="49" t="n"/>
      <c r="K24" s="49" t="n"/>
      <c r="L24" s="49" t="n"/>
    </row>
    <row r="25" ht="18" customHeight="1">
      <c r="A25" s="42" t="n">
        <v>23</v>
      </c>
      <c r="B25" s="43" t="n"/>
      <c r="C25" s="44" t="n"/>
      <c r="D25" s="45" t="n"/>
      <c r="E25" s="45" t="n"/>
      <c r="F25" s="46" t="n"/>
      <c r="G25" s="46" t="n"/>
      <c r="H25" s="45" t="n"/>
      <c r="I25" s="44" t="n"/>
      <c r="J25" s="45" t="n"/>
      <c r="K25" s="45" t="n"/>
      <c r="L25" s="45" t="n"/>
    </row>
    <row r="26" ht="18" customHeight="1">
      <c r="A26" s="42" t="n">
        <v>24</v>
      </c>
      <c r="B26" s="47" t="n"/>
      <c r="C26" s="48" t="n"/>
      <c r="D26" s="49" t="n"/>
      <c r="E26" s="49" t="n"/>
      <c r="F26" s="50" t="n"/>
      <c r="G26" s="50" t="n"/>
      <c r="H26" s="49" t="n"/>
      <c r="I26" s="48" t="n"/>
      <c r="J26" s="49" t="n"/>
      <c r="K26" s="49" t="n"/>
      <c r="L26" s="49" t="n"/>
    </row>
    <row r="27" ht="18" customHeight="1">
      <c r="A27" s="42" t="n">
        <v>25</v>
      </c>
      <c r="B27" s="43" t="n"/>
      <c r="C27" s="44" t="n"/>
      <c r="D27" s="45" t="n"/>
      <c r="E27" s="45" t="n"/>
      <c r="F27" s="46" t="n"/>
      <c r="G27" s="46" t="n"/>
      <c r="H27" s="45" t="n"/>
      <c r="I27" s="44" t="n"/>
      <c r="J27" s="45" t="n"/>
      <c r="K27" s="45" t="n"/>
      <c r="L27" s="45" t="n"/>
    </row>
    <row r="28" ht="18" customHeight="1">
      <c r="A28" s="42" t="n">
        <v>26</v>
      </c>
      <c r="B28" s="47" t="n"/>
      <c r="C28" s="48" t="n"/>
      <c r="D28" s="49" t="n"/>
      <c r="E28" s="49" t="n"/>
      <c r="F28" s="50" t="n"/>
      <c r="G28" s="50" t="n"/>
      <c r="H28" s="49" t="n"/>
      <c r="I28" s="48" t="n"/>
      <c r="J28" s="49" t="n"/>
      <c r="K28" s="49" t="n"/>
      <c r="L28" s="49" t="n"/>
    </row>
    <row r="29" ht="18" customHeight="1">
      <c r="A29" s="42" t="n">
        <v>27</v>
      </c>
      <c r="B29" s="43" t="n"/>
      <c r="C29" s="44" t="n"/>
      <c r="D29" s="45" t="n"/>
      <c r="E29" s="45" t="n"/>
      <c r="F29" s="46" t="n"/>
      <c r="G29" s="46" t="n"/>
      <c r="H29" s="45" t="n"/>
      <c r="I29" s="44" t="n"/>
      <c r="J29" s="45" t="n"/>
      <c r="K29" s="45" t="n"/>
      <c r="L29" s="45" t="n"/>
    </row>
    <row r="30" ht="18" customHeight="1">
      <c r="A30" s="42" t="n">
        <v>28</v>
      </c>
      <c r="B30" s="47" t="n"/>
      <c r="C30" s="48" t="n"/>
      <c r="D30" s="49" t="n"/>
      <c r="E30" s="49" t="n"/>
      <c r="F30" s="50" t="n"/>
      <c r="G30" s="50" t="n"/>
      <c r="H30" s="49" t="n"/>
      <c r="I30" s="48" t="n"/>
      <c r="J30" s="49" t="n"/>
      <c r="K30" s="49" t="n"/>
      <c r="L30" s="49" t="n"/>
    </row>
    <row r="31" ht="18" customHeight="1">
      <c r="A31" s="42" t="n">
        <v>29</v>
      </c>
      <c r="B31" s="43" t="n"/>
      <c r="C31" s="44" t="n"/>
      <c r="D31" s="45" t="n"/>
      <c r="E31" s="45" t="n"/>
      <c r="F31" s="46" t="n"/>
      <c r="G31" s="46" t="n"/>
      <c r="H31" s="45" t="n"/>
      <c r="I31" s="44" t="n"/>
      <c r="J31" s="45" t="n"/>
      <c r="K31" s="45" t="n"/>
      <c r="L31" s="45" t="n"/>
    </row>
    <row r="32" ht="18" customHeight="1">
      <c r="A32" s="42" t="n">
        <v>30</v>
      </c>
      <c r="B32" s="47" t="n"/>
      <c r="C32" s="48" t="n"/>
      <c r="D32" s="49" t="n"/>
      <c r="E32" s="49" t="n"/>
      <c r="F32" s="50" t="n"/>
      <c r="G32" s="50" t="n"/>
      <c r="H32" s="49" t="n"/>
      <c r="I32" s="48" t="n"/>
      <c r="J32" s="49" t="n"/>
      <c r="K32" s="49" t="n"/>
      <c r="L32" s="49" t="n"/>
    </row>
    <row r="33" ht="18" customHeight="1">
      <c r="A33" s="42" t="n">
        <v>31</v>
      </c>
      <c r="B33" s="43" t="n"/>
      <c r="C33" s="44" t="n"/>
      <c r="D33" s="45" t="n"/>
      <c r="E33" s="45" t="n"/>
      <c r="F33" s="46" t="n"/>
      <c r="G33" s="46" t="n"/>
      <c r="H33" s="45" t="n"/>
      <c r="I33" s="44" t="n"/>
      <c r="J33" s="45" t="n"/>
      <c r="K33" s="45" t="n"/>
      <c r="L33" s="45" t="n"/>
    </row>
    <row r="34" ht="18" customHeight="1">
      <c r="A34" s="42" t="n">
        <v>32</v>
      </c>
      <c r="B34" s="47" t="n"/>
      <c r="C34" s="48" t="n"/>
      <c r="D34" s="49" t="n"/>
      <c r="E34" s="49" t="n"/>
      <c r="F34" s="50" t="n"/>
      <c r="G34" s="50" t="n"/>
      <c r="H34" s="49" t="n"/>
      <c r="I34" s="48" t="n"/>
      <c r="J34" s="49" t="n"/>
      <c r="K34" s="49" t="n"/>
      <c r="L34" s="49" t="n"/>
    </row>
    <row r="35" ht="18" customHeight="1">
      <c r="A35" s="42" t="n">
        <v>33</v>
      </c>
      <c r="B35" s="43" t="n"/>
      <c r="C35" s="44" t="n"/>
      <c r="D35" s="45" t="n"/>
      <c r="E35" s="45" t="n"/>
      <c r="F35" s="46" t="n"/>
      <c r="G35" s="46" t="n"/>
      <c r="H35" s="45" t="n"/>
      <c r="I35" s="44" t="n"/>
      <c r="J35" s="45" t="n"/>
      <c r="K35" s="45" t="n"/>
      <c r="L35" s="45" t="n"/>
    </row>
    <row r="36" ht="18" customHeight="1">
      <c r="A36" s="42" t="n">
        <v>34</v>
      </c>
      <c r="B36" s="47" t="n"/>
      <c r="C36" s="48" t="n"/>
      <c r="D36" s="49" t="n"/>
      <c r="E36" s="49" t="n"/>
      <c r="F36" s="50" t="n"/>
      <c r="G36" s="50" t="n"/>
      <c r="H36" s="49" t="n"/>
      <c r="I36" s="48" t="n"/>
      <c r="J36" s="49" t="n"/>
      <c r="K36" s="49" t="n"/>
      <c r="L36" s="49" t="n"/>
    </row>
    <row r="37" ht="18" customHeight="1">
      <c r="A37" s="42" t="n">
        <v>35</v>
      </c>
      <c r="B37" s="43" t="n"/>
      <c r="C37" s="44" t="n"/>
      <c r="D37" s="45" t="n"/>
      <c r="E37" s="45" t="n"/>
      <c r="F37" s="46" t="n"/>
      <c r="G37" s="46" t="n"/>
      <c r="H37" s="45" t="n"/>
      <c r="I37" s="44" t="n"/>
      <c r="J37" s="45" t="n"/>
      <c r="K37" s="45" t="n"/>
      <c r="L37" s="45" t="n"/>
    </row>
    <row r="38" ht="18" customHeight="1">
      <c r="A38" s="42" t="n">
        <v>36</v>
      </c>
      <c r="B38" s="47" t="n"/>
      <c r="C38" s="48" t="n"/>
      <c r="D38" s="49" t="n"/>
      <c r="E38" s="49" t="n"/>
      <c r="F38" s="50" t="n"/>
      <c r="G38" s="50" t="n"/>
      <c r="H38" s="49" t="n"/>
      <c r="I38" s="48" t="n"/>
      <c r="J38" s="49" t="n"/>
      <c r="K38" s="49" t="n"/>
      <c r="L38" s="49" t="n"/>
    </row>
    <row r="39" ht="18" customHeight="1">
      <c r="A39" s="42" t="n">
        <v>37</v>
      </c>
      <c r="B39" s="43" t="n"/>
      <c r="C39" s="44" t="n"/>
      <c r="D39" s="45" t="n"/>
      <c r="E39" s="45" t="n"/>
      <c r="F39" s="46" t="n"/>
      <c r="G39" s="46" t="n"/>
      <c r="H39" s="45" t="n"/>
      <c r="I39" s="44" t="n"/>
      <c r="J39" s="45" t="n"/>
      <c r="K39" s="45" t="n"/>
      <c r="L39" s="45" t="n"/>
    </row>
    <row r="40" ht="18" customHeight="1">
      <c r="A40" s="42" t="n">
        <v>38</v>
      </c>
      <c r="B40" s="47" t="n"/>
      <c r="C40" s="48" t="n"/>
      <c r="D40" s="49" t="n"/>
      <c r="E40" s="49" t="n"/>
      <c r="F40" s="50" t="n"/>
      <c r="G40" s="50" t="n"/>
      <c r="H40" s="49" t="n"/>
      <c r="I40" s="48" t="n"/>
      <c r="J40" s="49" t="n"/>
      <c r="K40" s="49" t="n"/>
      <c r="L40" s="49" t="n"/>
    </row>
    <row r="41" ht="18" customHeight="1">
      <c r="A41" s="42" t="n">
        <v>39</v>
      </c>
      <c r="B41" s="43" t="n"/>
      <c r="C41" s="44" t="n"/>
      <c r="D41" s="45" t="n"/>
      <c r="E41" s="45" t="n"/>
      <c r="F41" s="46" t="n"/>
      <c r="G41" s="46" t="n"/>
      <c r="H41" s="45" t="n"/>
      <c r="I41" s="44" t="n"/>
      <c r="J41" s="45" t="n"/>
      <c r="K41" s="45" t="n"/>
      <c r="L41" s="45" t="n"/>
    </row>
    <row r="42" ht="18" customHeight="1">
      <c r="A42" s="42" t="n">
        <v>40</v>
      </c>
      <c r="B42" s="47" t="n"/>
      <c r="C42" s="48" t="n"/>
      <c r="D42" s="49" t="n"/>
      <c r="E42" s="49" t="n"/>
      <c r="F42" s="50" t="n"/>
      <c r="G42" s="50" t="n"/>
      <c r="H42" s="49" t="n"/>
      <c r="I42" s="48" t="n"/>
      <c r="J42" s="49" t="n"/>
      <c r="K42" s="49" t="n"/>
      <c r="L42" s="49" t="n"/>
    </row>
    <row r="43" ht="18" customHeight="1">
      <c r="A43" s="42" t="n">
        <v>41</v>
      </c>
      <c r="B43" s="43" t="n"/>
      <c r="C43" s="44" t="n"/>
      <c r="D43" s="45" t="n"/>
      <c r="E43" s="45" t="n"/>
      <c r="F43" s="46" t="n"/>
      <c r="G43" s="46" t="n"/>
      <c r="H43" s="45" t="n"/>
      <c r="I43" s="44" t="n"/>
      <c r="J43" s="45" t="n"/>
      <c r="K43" s="45" t="n"/>
      <c r="L43" s="45" t="n"/>
    </row>
    <row r="44" ht="18" customHeight="1">
      <c r="A44" s="42" t="n">
        <v>42</v>
      </c>
      <c r="B44" s="47" t="n"/>
      <c r="C44" s="48" t="n"/>
      <c r="D44" s="49" t="n"/>
      <c r="E44" s="49" t="n"/>
      <c r="F44" s="50" t="n"/>
      <c r="G44" s="50" t="n"/>
      <c r="H44" s="49" t="n"/>
      <c r="I44" s="48" t="n"/>
      <c r="J44" s="49" t="n"/>
      <c r="K44" s="49" t="n"/>
      <c r="L44" s="49" t="n"/>
    </row>
    <row r="45" ht="18" customHeight="1">
      <c r="A45" s="42" t="n">
        <v>43</v>
      </c>
      <c r="B45" s="43" t="n"/>
      <c r="C45" s="44" t="n"/>
      <c r="D45" s="45" t="n"/>
      <c r="E45" s="45" t="n"/>
      <c r="F45" s="46" t="n"/>
      <c r="G45" s="46" t="n"/>
      <c r="H45" s="45" t="n"/>
      <c r="I45" s="44" t="n"/>
      <c r="J45" s="45" t="n"/>
      <c r="K45" s="45" t="n"/>
      <c r="L45" s="45" t="n"/>
    </row>
    <row r="46" ht="18" customHeight="1">
      <c r="A46" s="42" t="n">
        <v>44</v>
      </c>
      <c r="B46" s="47" t="n"/>
      <c r="C46" s="48" t="n"/>
      <c r="D46" s="49" t="n"/>
      <c r="E46" s="49" t="n"/>
      <c r="F46" s="50" t="n"/>
      <c r="G46" s="50" t="n"/>
      <c r="H46" s="49" t="n"/>
      <c r="I46" s="48" t="n"/>
      <c r="J46" s="49" t="n"/>
      <c r="K46" s="49" t="n"/>
      <c r="L46" s="49" t="n"/>
    </row>
    <row r="47" ht="18" customHeight="1">
      <c r="A47" s="42" t="n">
        <v>45</v>
      </c>
      <c r="B47" s="43" t="n"/>
      <c r="C47" s="44" t="n"/>
      <c r="D47" s="45" t="n"/>
      <c r="E47" s="45" t="n"/>
      <c r="F47" s="46" t="n"/>
      <c r="G47" s="46" t="n"/>
      <c r="H47" s="45" t="n"/>
      <c r="I47" s="44" t="n"/>
      <c r="J47" s="45" t="n"/>
      <c r="K47" s="45" t="n"/>
      <c r="L47" s="45" t="n"/>
    </row>
    <row r="48" ht="18" customHeight="1">
      <c r="A48" s="42" t="n">
        <v>46</v>
      </c>
      <c r="B48" s="47" t="n"/>
      <c r="C48" s="48" t="n"/>
      <c r="D48" s="49" t="n"/>
      <c r="E48" s="49" t="n"/>
      <c r="F48" s="50" t="n"/>
      <c r="G48" s="50" t="n"/>
      <c r="H48" s="49" t="n"/>
      <c r="I48" s="48" t="n"/>
      <c r="J48" s="49" t="n"/>
      <c r="K48" s="49" t="n"/>
      <c r="L48" s="49" t="n"/>
    </row>
    <row r="49" ht="18" customHeight="1">
      <c r="A49" s="42" t="n">
        <v>47</v>
      </c>
      <c r="B49" s="43" t="n"/>
      <c r="C49" s="44" t="n"/>
      <c r="D49" s="45" t="n"/>
      <c r="E49" s="45" t="n"/>
      <c r="F49" s="46" t="n"/>
      <c r="G49" s="46" t="n"/>
      <c r="H49" s="45" t="n"/>
      <c r="I49" s="44" t="n"/>
      <c r="J49" s="45" t="n"/>
      <c r="K49" s="45" t="n"/>
      <c r="L49" s="45" t="n"/>
    </row>
    <row r="50" ht="18" customHeight="1">
      <c r="A50" s="42" t="n">
        <v>48</v>
      </c>
      <c r="B50" s="47" t="n"/>
      <c r="C50" s="48" t="n"/>
      <c r="D50" s="49" t="n"/>
      <c r="E50" s="49" t="n"/>
      <c r="F50" s="50" t="n"/>
      <c r="G50" s="50" t="n"/>
      <c r="H50" s="49" t="n"/>
      <c r="I50" s="48" t="n"/>
      <c r="J50" s="49" t="n"/>
      <c r="K50" s="49" t="n"/>
      <c r="L50" s="49" t="n"/>
    </row>
    <row r="51" ht="18" customHeight="1">
      <c r="A51" s="42" t="n">
        <v>49</v>
      </c>
      <c r="B51" s="43" t="n"/>
      <c r="C51" s="44" t="n"/>
      <c r="D51" s="45" t="n"/>
      <c r="E51" s="45" t="n"/>
      <c r="F51" s="46" t="n"/>
      <c r="G51" s="46" t="n"/>
      <c r="H51" s="45" t="n"/>
      <c r="I51" s="44" t="n"/>
      <c r="J51" s="45" t="n"/>
      <c r="K51" s="45" t="n"/>
      <c r="L51" s="45" t="n"/>
    </row>
    <row r="52" ht="18" customHeight="1">
      <c r="A52" s="42" t="n">
        <v>50</v>
      </c>
      <c r="B52" s="47" t="n"/>
      <c r="C52" s="48" t="n"/>
      <c r="D52" s="49" t="n"/>
      <c r="E52" s="49" t="n"/>
      <c r="F52" s="50" t="n"/>
      <c r="G52" s="50" t="n"/>
      <c r="H52" s="49" t="n"/>
      <c r="I52" s="48" t="n"/>
      <c r="J52" s="49" t="n"/>
      <c r="K52" s="49" t="n"/>
      <c r="L52" s="49" t="n"/>
    </row>
    <row r="53" ht="18" customHeight="1">
      <c r="A53" s="42" t="n">
        <v>51</v>
      </c>
      <c r="B53" s="43" t="n"/>
      <c r="C53" s="44" t="n"/>
      <c r="D53" s="45" t="n"/>
      <c r="E53" s="45" t="n"/>
      <c r="F53" s="46" t="n"/>
      <c r="G53" s="46" t="n"/>
      <c r="H53" s="45" t="n"/>
      <c r="I53" s="44" t="n"/>
      <c r="J53" s="45" t="n"/>
      <c r="K53" s="45" t="n"/>
      <c r="L53" s="45" t="n"/>
    </row>
    <row r="54" ht="18" customHeight="1">
      <c r="A54" s="42" t="n">
        <v>52</v>
      </c>
      <c r="B54" s="47" t="n"/>
      <c r="C54" s="48" t="n"/>
      <c r="D54" s="49" t="n"/>
      <c r="E54" s="49" t="n"/>
      <c r="F54" s="50" t="n"/>
      <c r="G54" s="50" t="n"/>
      <c r="H54" s="49" t="n"/>
      <c r="I54" s="48" t="n"/>
      <c r="J54" s="49" t="n"/>
      <c r="K54" s="49" t="n"/>
      <c r="L54" s="49" t="n"/>
    </row>
    <row r="55" ht="18" customHeight="1">
      <c r="A55" s="42" t="n">
        <v>53</v>
      </c>
      <c r="B55" s="43" t="n"/>
      <c r="C55" s="44" t="n"/>
      <c r="D55" s="45" t="n"/>
      <c r="E55" s="45" t="n"/>
      <c r="F55" s="46" t="n"/>
      <c r="G55" s="46" t="n"/>
      <c r="H55" s="45" t="n"/>
      <c r="I55" s="44" t="n"/>
      <c r="J55" s="45" t="n"/>
      <c r="K55" s="45" t="n"/>
      <c r="L55" s="45" t="n"/>
    </row>
    <row r="56" ht="18" customHeight="1">
      <c r="A56" s="42" t="n">
        <v>54</v>
      </c>
      <c r="B56" s="47" t="n"/>
      <c r="C56" s="48" t="n"/>
      <c r="D56" s="49" t="n"/>
      <c r="E56" s="49" t="n"/>
      <c r="F56" s="50" t="n"/>
      <c r="G56" s="50" t="n"/>
      <c r="H56" s="49" t="n"/>
      <c r="I56" s="48" t="n"/>
      <c r="J56" s="49" t="n"/>
      <c r="K56" s="49" t="n"/>
      <c r="L56" s="49" t="n"/>
    </row>
    <row r="57" ht="18" customHeight="1">
      <c r="A57" s="42" t="n">
        <v>55</v>
      </c>
      <c r="B57" s="43" t="n"/>
      <c r="C57" s="44" t="n"/>
      <c r="D57" s="45" t="n"/>
      <c r="E57" s="45" t="n"/>
      <c r="F57" s="46" t="n"/>
      <c r="G57" s="46" t="n"/>
      <c r="H57" s="45" t="n"/>
      <c r="I57" s="44" t="n"/>
      <c r="J57" s="45" t="n"/>
      <c r="K57" s="45" t="n"/>
      <c r="L57" s="45" t="n"/>
    </row>
    <row r="58" ht="18" customHeight="1">
      <c r="A58" s="42" t="n">
        <v>56</v>
      </c>
      <c r="B58" s="47" t="n"/>
      <c r="C58" s="48" t="n"/>
      <c r="D58" s="49" t="n"/>
      <c r="E58" s="49" t="n"/>
      <c r="F58" s="50" t="n"/>
      <c r="G58" s="50" t="n"/>
      <c r="H58" s="49" t="n"/>
      <c r="I58" s="48" t="n"/>
      <c r="J58" s="49" t="n"/>
      <c r="K58" s="49" t="n"/>
      <c r="L58" s="49" t="n"/>
    </row>
    <row r="59" ht="18" customHeight="1">
      <c r="A59" s="42" t="n">
        <v>57</v>
      </c>
      <c r="B59" s="43" t="n"/>
      <c r="C59" s="44" t="n"/>
      <c r="D59" s="45" t="n"/>
      <c r="E59" s="45" t="n"/>
      <c r="F59" s="46" t="n"/>
      <c r="G59" s="46" t="n"/>
      <c r="H59" s="45" t="n"/>
      <c r="I59" s="44" t="n"/>
      <c r="J59" s="45" t="n"/>
      <c r="K59" s="45" t="n"/>
      <c r="L59" s="45" t="n"/>
    </row>
    <row r="60" ht="18" customHeight="1">
      <c r="A60" s="42" t="n">
        <v>58</v>
      </c>
      <c r="B60" s="47" t="n"/>
      <c r="C60" s="48" t="n"/>
      <c r="D60" s="49" t="n"/>
      <c r="E60" s="49" t="n"/>
      <c r="F60" s="50" t="n"/>
      <c r="G60" s="50" t="n"/>
      <c r="H60" s="49" t="n"/>
      <c r="I60" s="48" t="n"/>
      <c r="J60" s="49" t="n"/>
      <c r="K60" s="49" t="n"/>
      <c r="L60" s="49" t="n"/>
    </row>
    <row r="61" ht="18" customHeight="1">
      <c r="A61" s="42" t="n">
        <v>59</v>
      </c>
      <c r="B61" s="43" t="n"/>
      <c r="C61" s="44" t="n"/>
      <c r="D61" s="45" t="n"/>
      <c r="E61" s="45" t="n"/>
      <c r="F61" s="46" t="n"/>
      <c r="G61" s="46" t="n"/>
      <c r="H61" s="45" t="n"/>
      <c r="I61" s="44" t="n"/>
      <c r="J61" s="45" t="n"/>
      <c r="K61" s="45" t="n"/>
      <c r="L61" s="45" t="n"/>
    </row>
    <row r="62" ht="18" customHeight="1">
      <c r="A62" s="42" t="n">
        <v>60</v>
      </c>
      <c r="B62" s="47" t="n"/>
      <c r="C62" s="48" t="n"/>
      <c r="D62" s="49" t="n"/>
      <c r="E62" s="49" t="n"/>
      <c r="F62" s="50" t="n"/>
      <c r="G62" s="50" t="n"/>
      <c r="H62" s="49" t="n"/>
      <c r="I62" s="48" t="n"/>
      <c r="J62" s="49" t="n"/>
      <c r="K62" s="49" t="n"/>
      <c r="L62" s="49" t="n"/>
    </row>
    <row r="63" ht="18" customHeight="1">
      <c r="A63" s="42" t="n">
        <v>61</v>
      </c>
      <c r="B63" s="43" t="n"/>
      <c r="C63" s="44" t="n"/>
      <c r="D63" s="45" t="n"/>
      <c r="E63" s="45" t="n"/>
      <c r="F63" s="46" t="n"/>
      <c r="G63" s="46" t="n"/>
      <c r="H63" s="45" t="n"/>
      <c r="I63" s="44" t="n"/>
      <c r="J63" s="45" t="n"/>
      <c r="K63" s="45" t="n"/>
      <c r="L63" s="45" t="n"/>
    </row>
    <row r="64" ht="18" customHeight="1">
      <c r="A64" s="42" t="n">
        <v>62</v>
      </c>
      <c r="B64" s="47" t="n"/>
      <c r="C64" s="48" t="n"/>
      <c r="D64" s="49" t="n"/>
      <c r="E64" s="49" t="n"/>
      <c r="F64" s="50" t="n"/>
      <c r="G64" s="50" t="n"/>
      <c r="H64" s="49" t="n"/>
      <c r="I64" s="48" t="n"/>
      <c r="J64" s="49" t="n"/>
      <c r="K64" s="49" t="n"/>
      <c r="L64" s="49" t="n"/>
    </row>
    <row r="65" ht="18" customHeight="1">
      <c r="A65" s="42" t="n">
        <v>63</v>
      </c>
      <c r="B65" s="43" t="n"/>
      <c r="C65" s="44" t="n"/>
      <c r="D65" s="45" t="n"/>
      <c r="E65" s="45" t="n"/>
      <c r="F65" s="46" t="n"/>
      <c r="G65" s="46" t="n"/>
      <c r="H65" s="45" t="n"/>
      <c r="I65" s="44" t="n"/>
      <c r="J65" s="45" t="n"/>
      <c r="K65" s="45" t="n"/>
      <c r="L65" s="45" t="n"/>
    </row>
    <row r="66" ht="18" customHeight="1">
      <c r="A66" s="42" t="n">
        <v>64</v>
      </c>
      <c r="B66" s="47" t="n"/>
      <c r="C66" s="48" t="n"/>
      <c r="D66" s="49" t="n"/>
      <c r="E66" s="49" t="n"/>
      <c r="F66" s="50" t="n"/>
      <c r="G66" s="50" t="n"/>
      <c r="H66" s="49" t="n"/>
      <c r="I66" s="48" t="n"/>
      <c r="J66" s="49" t="n"/>
      <c r="K66" s="49" t="n"/>
      <c r="L66" s="49" t="n"/>
    </row>
    <row r="67" ht="18" customHeight="1">
      <c r="A67" s="42" t="n">
        <v>65</v>
      </c>
      <c r="B67" s="43" t="n"/>
      <c r="C67" s="44" t="n"/>
      <c r="D67" s="45" t="n"/>
      <c r="E67" s="45" t="n"/>
      <c r="F67" s="46" t="n"/>
      <c r="G67" s="46" t="n"/>
      <c r="H67" s="45" t="n"/>
      <c r="I67" s="44" t="n"/>
      <c r="J67" s="45" t="n"/>
      <c r="K67" s="45" t="n"/>
      <c r="L67" s="45" t="n"/>
    </row>
    <row r="68" ht="18" customHeight="1">
      <c r="A68" s="42" t="n">
        <v>66</v>
      </c>
      <c r="B68" s="47" t="n"/>
      <c r="C68" s="48" t="n"/>
      <c r="D68" s="49" t="n"/>
      <c r="E68" s="49" t="n"/>
      <c r="F68" s="50" t="n"/>
      <c r="G68" s="50" t="n"/>
      <c r="H68" s="49" t="n"/>
      <c r="I68" s="48" t="n"/>
      <c r="J68" s="49" t="n"/>
      <c r="K68" s="49" t="n"/>
      <c r="L68" s="49" t="n"/>
    </row>
    <row r="69" ht="18" customHeight="1">
      <c r="A69" s="42" t="n">
        <v>67</v>
      </c>
      <c r="B69" s="43" t="n"/>
      <c r="C69" s="44" t="n"/>
      <c r="D69" s="45" t="n"/>
      <c r="E69" s="45" t="n"/>
      <c r="F69" s="46" t="n"/>
      <c r="G69" s="46" t="n"/>
      <c r="H69" s="45" t="n"/>
      <c r="I69" s="44" t="n"/>
      <c r="J69" s="45" t="n"/>
      <c r="K69" s="45" t="n"/>
      <c r="L69" s="45" t="n"/>
    </row>
    <row r="70" ht="18" customHeight="1">
      <c r="A70" s="42" t="n">
        <v>68</v>
      </c>
      <c r="B70" s="47" t="n"/>
      <c r="C70" s="48" t="n"/>
      <c r="D70" s="49" t="n"/>
      <c r="E70" s="49" t="n"/>
      <c r="F70" s="50" t="n"/>
      <c r="G70" s="50" t="n"/>
      <c r="H70" s="49" t="n"/>
      <c r="I70" s="48" t="n"/>
      <c r="J70" s="49" t="n"/>
      <c r="K70" s="49" t="n"/>
      <c r="L70" s="49" t="n"/>
    </row>
    <row r="71" ht="18" customHeight="1">
      <c r="A71" s="42" t="n">
        <v>69</v>
      </c>
      <c r="B71" s="43" t="n"/>
      <c r="C71" s="44" t="n"/>
      <c r="D71" s="45" t="n"/>
      <c r="E71" s="45" t="n"/>
      <c r="F71" s="46" t="n"/>
      <c r="G71" s="46" t="n"/>
      <c r="H71" s="45" t="n"/>
      <c r="I71" s="44" t="n"/>
      <c r="J71" s="45" t="n"/>
      <c r="K71" s="45" t="n"/>
      <c r="L71" s="45" t="n"/>
    </row>
    <row r="72" ht="18" customHeight="1">
      <c r="A72" s="42" t="n">
        <v>70</v>
      </c>
      <c r="B72" s="47" t="n"/>
      <c r="C72" s="48" t="n"/>
      <c r="D72" s="49" t="n"/>
      <c r="E72" s="49" t="n"/>
      <c r="F72" s="50" t="n"/>
      <c r="G72" s="50" t="n"/>
      <c r="H72" s="49" t="n"/>
      <c r="I72" s="48" t="n"/>
      <c r="J72" s="49" t="n"/>
      <c r="K72" s="49" t="n"/>
      <c r="L72" s="49" t="n"/>
    </row>
    <row r="73" ht="18" customHeight="1">
      <c r="A73" s="42" t="n">
        <v>71</v>
      </c>
      <c r="B73" s="43" t="n"/>
      <c r="C73" s="44" t="n"/>
      <c r="D73" s="45" t="n"/>
      <c r="E73" s="45" t="n"/>
      <c r="F73" s="46" t="n"/>
      <c r="G73" s="46" t="n"/>
      <c r="H73" s="45" t="n"/>
      <c r="I73" s="44" t="n"/>
      <c r="J73" s="45" t="n"/>
      <c r="K73" s="45" t="n"/>
      <c r="L73" s="45" t="n"/>
    </row>
    <row r="74" ht="18" customHeight="1">
      <c r="A74" s="42" t="n">
        <v>72</v>
      </c>
      <c r="B74" s="47" t="n"/>
      <c r="C74" s="48" t="n"/>
      <c r="D74" s="49" t="n"/>
      <c r="E74" s="49" t="n"/>
      <c r="F74" s="50" t="n"/>
      <c r="G74" s="50" t="n"/>
      <c r="H74" s="49" t="n"/>
      <c r="I74" s="48" t="n"/>
      <c r="J74" s="49" t="n"/>
      <c r="K74" s="49" t="n"/>
      <c r="L74" s="49" t="n"/>
    </row>
    <row r="75" ht="18" customHeight="1">
      <c r="A75" s="42" t="n">
        <v>73</v>
      </c>
      <c r="B75" s="43" t="n"/>
      <c r="C75" s="44" t="n"/>
      <c r="D75" s="45" t="n"/>
      <c r="E75" s="45" t="n"/>
      <c r="F75" s="46" t="n"/>
      <c r="G75" s="46" t="n"/>
      <c r="H75" s="45" t="n"/>
      <c r="I75" s="44" t="n"/>
      <c r="J75" s="45" t="n"/>
      <c r="K75" s="45" t="n"/>
      <c r="L75" s="45" t="n"/>
    </row>
    <row r="76" ht="18" customHeight="1">
      <c r="A76" s="42" t="n">
        <v>74</v>
      </c>
      <c r="B76" s="47" t="n"/>
      <c r="C76" s="48" t="n"/>
      <c r="D76" s="49" t="n"/>
      <c r="E76" s="49" t="n"/>
      <c r="F76" s="50" t="n"/>
      <c r="G76" s="50" t="n"/>
      <c r="H76" s="49" t="n"/>
      <c r="I76" s="48" t="n"/>
      <c r="J76" s="49" t="n"/>
      <c r="K76" s="49" t="n"/>
      <c r="L76" s="49" t="n"/>
    </row>
    <row r="77" ht="18" customHeight="1">
      <c r="A77" s="42" t="n">
        <v>75</v>
      </c>
      <c r="B77" s="43" t="n"/>
      <c r="C77" s="44" t="n"/>
      <c r="D77" s="45" t="n"/>
      <c r="E77" s="45" t="n"/>
      <c r="F77" s="46" t="n"/>
      <c r="G77" s="46" t="n"/>
      <c r="H77" s="45" t="n"/>
      <c r="I77" s="44" t="n"/>
      <c r="J77" s="45" t="n"/>
      <c r="K77" s="45" t="n"/>
      <c r="L77" s="45" t="n"/>
    </row>
    <row r="78" ht="18" customHeight="1">
      <c r="A78" s="42" t="n">
        <v>76</v>
      </c>
      <c r="B78" s="47" t="n"/>
      <c r="C78" s="48" t="n"/>
      <c r="D78" s="49" t="n"/>
      <c r="E78" s="49" t="n"/>
      <c r="F78" s="50" t="n"/>
      <c r="G78" s="50" t="n"/>
      <c r="H78" s="49" t="n"/>
      <c r="I78" s="48" t="n"/>
      <c r="J78" s="49" t="n"/>
      <c r="K78" s="49" t="n"/>
      <c r="L78" s="49" t="n"/>
    </row>
    <row r="79" ht="18" customHeight="1">
      <c r="A79" s="42" t="n">
        <v>77</v>
      </c>
      <c r="B79" s="43" t="n"/>
      <c r="C79" s="44" t="n"/>
      <c r="D79" s="45" t="n"/>
      <c r="E79" s="45" t="n"/>
      <c r="F79" s="46" t="n"/>
      <c r="G79" s="46" t="n"/>
      <c r="H79" s="45" t="n"/>
      <c r="I79" s="44" t="n"/>
      <c r="J79" s="45" t="n"/>
      <c r="K79" s="45" t="n"/>
      <c r="L79" s="45" t="n"/>
    </row>
    <row r="80" ht="18" customHeight="1">
      <c r="A80" s="42" t="n">
        <v>78</v>
      </c>
      <c r="B80" s="47" t="n"/>
      <c r="C80" s="48" t="n"/>
      <c r="D80" s="49" t="n"/>
      <c r="E80" s="49" t="n"/>
      <c r="F80" s="50" t="n"/>
      <c r="G80" s="50" t="n"/>
      <c r="H80" s="49" t="n"/>
      <c r="I80" s="48" t="n"/>
      <c r="J80" s="49" t="n"/>
      <c r="K80" s="49" t="n"/>
      <c r="L80" s="49" t="n"/>
    </row>
    <row r="81" ht="18" customHeight="1">
      <c r="A81" s="42" t="n">
        <v>79</v>
      </c>
      <c r="B81" s="43" t="n"/>
      <c r="C81" s="44" t="n"/>
      <c r="D81" s="45" t="n"/>
      <c r="E81" s="45" t="n"/>
      <c r="F81" s="46" t="n"/>
      <c r="G81" s="46" t="n"/>
      <c r="H81" s="45" t="n"/>
      <c r="I81" s="44" t="n"/>
      <c r="J81" s="45" t="n"/>
      <c r="K81" s="45" t="n"/>
      <c r="L81" s="45" t="n"/>
    </row>
    <row r="82" ht="18" customHeight="1">
      <c r="A82" s="42" t="n">
        <v>80</v>
      </c>
      <c r="B82" s="47" t="n"/>
      <c r="C82" s="48" t="n"/>
      <c r="D82" s="49" t="n"/>
      <c r="E82" s="49" t="n"/>
      <c r="F82" s="50" t="n"/>
      <c r="G82" s="50" t="n"/>
      <c r="H82" s="49" t="n"/>
      <c r="I82" s="48" t="n"/>
      <c r="J82" s="49" t="n"/>
      <c r="K82" s="49" t="n"/>
      <c r="L82" s="49" t="n"/>
    </row>
    <row r="83" ht="18" customHeight="1">
      <c r="A83" s="42" t="n">
        <v>81</v>
      </c>
      <c r="B83" s="43" t="n"/>
      <c r="C83" s="44" t="n"/>
      <c r="D83" s="45" t="n"/>
      <c r="E83" s="45" t="n"/>
      <c r="F83" s="46" t="n"/>
      <c r="G83" s="46" t="n"/>
      <c r="H83" s="45" t="n"/>
      <c r="I83" s="44" t="n"/>
      <c r="J83" s="45" t="n"/>
      <c r="K83" s="45" t="n"/>
      <c r="L83" s="45" t="n"/>
    </row>
    <row r="84" ht="18" customHeight="1">
      <c r="A84" s="42" t="n">
        <v>82</v>
      </c>
      <c r="B84" s="47" t="n"/>
      <c r="C84" s="48" t="n"/>
      <c r="D84" s="49" t="n"/>
      <c r="E84" s="49" t="n"/>
      <c r="F84" s="50" t="n"/>
      <c r="G84" s="50" t="n"/>
      <c r="H84" s="49" t="n"/>
      <c r="I84" s="48" t="n"/>
      <c r="J84" s="49" t="n"/>
      <c r="K84" s="49" t="n"/>
      <c r="L84" s="49" t="n"/>
    </row>
    <row r="85" ht="18" customHeight="1">
      <c r="A85" s="42" t="n">
        <v>83</v>
      </c>
      <c r="B85" s="43" t="n"/>
      <c r="C85" s="44" t="n"/>
      <c r="D85" s="45" t="n"/>
      <c r="E85" s="45" t="n"/>
      <c r="F85" s="46" t="n"/>
      <c r="G85" s="46" t="n"/>
      <c r="H85" s="45" t="n"/>
      <c r="I85" s="44" t="n"/>
      <c r="J85" s="45" t="n"/>
      <c r="K85" s="45" t="n"/>
      <c r="L85" s="45" t="n"/>
    </row>
    <row r="86" ht="18" customHeight="1">
      <c r="A86" s="42" t="n">
        <v>84</v>
      </c>
      <c r="B86" s="47" t="n"/>
      <c r="C86" s="48" t="n"/>
      <c r="D86" s="49" t="n"/>
      <c r="E86" s="49" t="n"/>
      <c r="F86" s="50" t="n"/>
      <c r="G86" s="50" t="n"/>
      <c r="H86" s="49" t="n"/>
      <c r="I86" s="48" t="n"/>
      <c r="J86" s="49" t="n"/>
      <c r="K86" s="49" t="n"/>
      <c r="L86" s="49" t="n"/>
    </row>
    <row r="87" ht="18" customHeight="1">
      <c r="A87" s="42" t="n">
        <v>85</v>
      </c>
      <c r="B87" s="43" t="n"/>
      <c r="C87" s="44" t="n"/>
      <c r="D87" s="45" t="n"/>
      <c r="E87" s="45" t="n"/>
      <c r="F87" s="46" t="n"/>
      <c r="G87" s="46" t="n"/>
      <c r="H87" s="45" t="n"/>
      <c r="I87" s="44" t="n"/>
      <c r="J87" s="45" t="n"/>
      <c r="K87" s="45" t="n"/>
      <c r="L87" s="45" t="n"/>
    </row>
    <row r="88" ht="18" customHeight="1">
      <c r="A88" s="42" t="n">
        <v>86</v>
      </c>
      <c r="B88" s="47" t="n"/>
      <c r="C88" s="48" t="n"/>
      <c r="D88" s="49" t="n"/>
      <c r="E88" s="49" t="n"/>
      <c r="F88" s="50" t="n"/>
      <c r="G88" s="50" t="n"/>
      <c r="H88" s="49" t="n"/>
      <c r="I88" s="48" t="n"/>
      <c r="J88" s="49" t="n"/>
      <c r="K88" s="49" t="n"/>
      <c r="L88" s="49" t="n"/>
    </row>
    <row r="89" ht="18" customHeight="1">
      <c r="A89" s="42" t="n">
        <v>87</v>
      </c>
      <c r="B89" s="43" t="n"/>
      <c r="C89" s="44" t="n"/>
      <c r="D89" s="45" t="n"/>
      <c r="E89" s="45" t="n"/>
      <c r="F89" s="46" t="n"/>
      <c r="G89" s="46" t="n"/>
      <c r="H89" s="45" t="n"/>
      <c r="I89" s="44" t="n"/>
      <c r="J89" s="45" t="n"/>
      <c r="K89" s="45" t="n"/>
      <c r="L89" s="45" t="n"/>
    </row>
    <row r="90" ht="18" customHeight="1">
      <c r="A90" s="42" t="n">
        <v>88</v>
      </c>
      <c r="B90" s="47" t="n"/>
      <c r="C90" s="48" t="n"/>
      <c r="D90" s="49" t="n"/>
      <c r="E90" s="49" t="n"/>
      <c r="F90" s="50" t="n"/>
      <c r="G90" s="50" t="n"/>
      <c r="H90" s="49" t="n"/>
      <c r="I90" s="48" t="n"/>
      <c r="J90" s="49" t="n"/>
      <c r="K90" s="49" t="n"/>
      <c r="L90" s="49" t="n"/>
    </row>
    <row r="91" ht="18" customHeight="1">
      <c r="A91" s="42" t="n">
        <v>89</v>
      </c>
      <c r="B91" s="43" t="n"/>
      <c r="C91" s="44" t="n"/>
      <c r="D91" s="45" t="n"/>
      <c r="E91" s="45" t="n"/>
      <c r="F91" s="46" t="n"/>
      <c r="G91" s="46" t="n"/>
      <c r="H91" s="45" t="n"/>
      <c r="I91" s="44" t="n"/>
      <c r="J91" s="45" t="n"/>
      <c r="K91" s="45" t="n"/>
      <c r="L91" s="45" t="n"/>
    </row>
    <row r="92" ht="18" customHeight="1">
      <c r="A92" s="42" t="n">
        <v>90</v>
      </c>
      <c r="B92" s="47" t="n"/>
      <c r="C92" s="48" t="n"/>
      <c r="D92" s="49" t="n"/>
      <c r="E92" s="49" t="n"/>
      <c r="F92" s="50" t="n"/>
      <c r="G92" s="50" t="n"/>
      <c r="H92" s="49" t="n"/>
      <c r="I92" s="48" t="n"/>
      <c r="J92" s="49" t="n"/>
      <c r="K92" s="49" t="n"/>
      <c r="L92" s="49" t="n"/>
    </row>
    <row r="93" ht="18" customHeight="1">
      <c r="A93" s="42" t="n">
        <v>91</v>
      </c>
      <c r="B93" s="43" t="n"/>
      <c r="C93" s="44" t="n"/>
      <c r="D93" s="45" t="n"/>
      <c r="E93" s="45" t="n"/>
      <c r="F93" s="46" t="n"/>
      <c r="G93" s="46" t="n"/>
      <c r="H93" s="45" t="n"/>
      <c r="I93" s="44" t="n"/>
      <c r="J93" s="45" t="n"/>
      <c r="K93" s="45" t="n"/>
      <c r="L93" s="45" t="n"/>
    </row>
    <row r="94" ht="18" customHeight="1">
      <c r="A94" s="42" t="n">
        <v>92</v>
      </c>
      <c r="B94" s="47" t="n"/>
      <c r="C94" s="48" t="n"/>
      <c r="D94" s="49" t="n"/>
      <c r="E94" s="49" t="n"/>
      <c r="F94" s="50" t="n"/>
      <c r="G94" s="50" t="n"/>
      <c r="H94" s="49" t="n"/>
      <c r="I94" s="48" t="n"/>
      <c r="J94" s="49" t="n"/>
      <c r="K94" s="49" t="n"/>
      <c r="L94" s="49" t="n"/>
    </row>
    <row r="95" ht="18" customHeight="1">
      <c r="A95" s="42" t="n">
        <v>93</v>
      </c>
      <c r="B95" s="43" t="n"/>
      <c r="C95" s="44" t="n"/>
      <c r="D95" s="45" t="n"/>
      <c r="E95" s="45" t="n"/>
      <c r="F95" s="46" t="n"/>
      <c r="G95" s="46" t="n"/>
      <c r="H95" s="45" t="n"/>
      <c r="I95" s="44" t="n"/>
      <c r="J95" s="45" t="n"/>
      <c r="K95" s="45" t="n"/>
      <c r="L95" s="45" t="n"/>
    </row>
    <row r="96" ht="18" customHeight="1">
      <c r="A96" s="42" t="n">
        <v>94</v>
      </c>
      <c r="B96" s="47" t="n"/>
      <c r="C96" s="48" t="n"/>
      <c r="D96" s="49" t="n"/>
      <c r="E96" s="49" t="n"/>
      <c r="F96" s="50" t="n"/>
      <c r="G96" s="50" t="n"/>
      <c r="H96" s="49" t="n"/>
      <c r="I96" s="48" t="n"/>
      <c r="J96" s="49" t="n"/>
      <c r="K96" s="49" t="n"/>
      <c r="L96" s="49" t="n"/>
    </row>
    <row r="97" ht="18" customHeight="1">
      <c r="A97" s="42" t="n">
        <v>95</v>
      </c>
      <c r="B97" s="43" t="n"/>
      <c r="C97" s="44" t="n"/>
      <c r="D97" s="45" t="n"/>
      <c r="E97" s="45" t="n"/>
      <c r="F97" s="46" t="n"/>
      <c r="G97" s="46" t="n"/>
      <c r="H97" s="45" t="n"/>
      <c r="I97" s="44" t="n"/>
      <c r="J97" s="45" t="n"/>
      <c r="K97" s="45" t="n"/>
      <c r="L97" s="45" t="n"/>
    </row>
    <row r="98" ht="18" customHeight="1">
      <c r="A98" s="42" t="n">
        <v>96</v>
      </c>
      <c r="B98" s="47" t="n"/>
      <c r="C98" s="48" t="n"/>
      <c r="D98" s="49" t="n"/>
      <c r="E98" s="49" t="n"/>
      <c r="F98" s="50" t="n"/>
      <c r="G98" s="50" t="n"/>
      <c r="H98" s="49" t="n"/>
      <c r="I98" s="48" t="n"/>
      <c r="J98" s="49" t="n"/>
      <c r="K98" s="49" t="n"/>
      <c r="L98" s="49" t="n"/>
    </row>
    <row r="99" ht="18" customHeight="1">
      <c r="A99" s="42" t="n">
        <v>97</v>
      </c>
      <c r="B99" s="43" t="n"/>
      <c r="C99" s="44" t="n"/>
      <c r="D99" s="45" t="n"/>
      <c r="E99" s="45" t="n"/>
      <c r="F99" s="46" t="n"/>
      <c r="G99" s="46" t="n"/>
      <c r="H99" s="45" t="n"/>
      <c r="I99" s="44" t="n"/>
      <c r="J99" s="45" t="n"/>
      <c r="K99" s="45" t="n"/>
      <c r="L99" s="45" t="n"/>
    </row>
    <row r="100" ht="18" customHeight="1">
      <c r="A100" s="42" t="n">
        <v>98</v>
      </c>
      <c r="B100" s="47" t="n"/>
      <c r="C100" s="48" t="n"/>
      <c r="D100" s="49" t="n"/>
      <c r="E100" s="49" t="n"/>
      <c r="F100" s="50" t="n"/>
      <c r="G100" s="50" t="n"/>
      <c r="H100" s="49" t="n"/>
      <c r="I100" s="48" t="n"/>
      <c r="J100" s="49" t="n"/>
      <c r="K100" s="49" t="n"/>
      <c r="L100" s="49" t="n"/>
    </row>
    <row r="101" ht="18" customHeight="1">
      <c r="A101" s="42" t="n">
        <v>99</v>
      </c>
      <c r="B101" s="43" t="n"/>
      <c r="C101" s="44" t="n"/>
      <c r="D101" s="45" t="n"/>
      <c r="E101" s="45" t="n"/>
      <c r="F101" s="46" t="n"/>
      <c r="G101" s="46" t="n"/>
      <c r="H101" s="45" t="n"/>
      <c r="I101" s="44" t="n"/>
      <c r="J101" s="45" t="n"/>
      <c r="K101" s="45" t="n"/>
      <c r="L101" s="45" t="n"/>
    </row>
    <row r="102" ht="18" customHeight="1">
      <c r="A102" s="42" t="n">
        <v>100</v>
      </c>
      <c r="B102" s="47" t="n"/>
      <c r="C102" s="48" t="n"/>
      <c r="D102" s="49" t="n"/>
      <c r="E102" s="49" t="n"/>
      <c r="F102" s="50" t="n"/>
      <c r="G102" s="50" t="n"/>
      <c r="H102" s="49" t="n"/>
      <c r="I102" s="48" t="n"/>
      <c r="J102" s="49" t="n"/>
      <c r="K102" s="49" t="n"/>
      <c r="L102" s="49" t="n"/>
    </row>
    <row r="103" ht="18" customHeight="1">
      <c r="A103" s="42" t="n">
        <v>101</v>
      </c>
      <c r="B103" s="43" t="n"/>
      <c r="C103" s="44" t="n"/>
      <c r="D103" s="45" t="n"/>
      <c r="E103" s="45" t="n"/>
      <c r="F103" s="46" t="n"/>
      <c r="G103" s="46" t="n"/>
      <c r="H103" s="45" t="n"/>
      <c r="I103" s="44" t="n"/>
      <c r="J103" s="45" t="n"/>
      <c r="K103" s="45" t="n"/>
      <c r="L103" s="45" t="n"/>
    </row>
    <row r="104" ht="18" customHeight="1">
      <c r="A104" s="42" t="n">
        <v>102</v>
      </c>
      <c r="B104" s="47" t="n"/>
      <c r="C104" s="48" t="n"/>
      <c r="D104" s="49" t="n"/>
      <c r="E104" s="49" t="n"/>
      <c r="F104" s="50" t="n"/>
      <c r="G104" s="50" t="n"/>
      <c r="H104" s="49" t="n"/>
      <c r="I104" s="48" t="n"/>
      <c r="J104" s="49" t="n"/>
      <c r="K104" s="49" t="n"/>
      <c r="L104" s="49" t="n"/>
    </row>
    <row r="105" ht="18" customHeight="1">
      <c r="A105" s="42" t="n">
        <v>103</v>
      </c>
      <c r="B105" s="43" t="n"/>
      <c r="C105" s="44" t="n"/>
      <c r="D105" s="45" t="n"/>
      <c r="E105" s="45" t="n"/>
      <c r="F105" s="46" t="n"/>
      <c r="G105" s="46" t="n"/>
      <c r="H105" s="45" t="n"/>
      <c r="I105" s="44" t="n"/>
      <c r="J105" s="45" t="n"/>
      <c r="K105" s="45" t="n"/>
      <c r="L105" s="45" t="n"/>
    </row>
    <row r="106" ht="18" customHeight="1">
      <c r="A106" s="42" t="n">
        <v>104</v>
      </c>
      <c r="B106" s="47" t="n"/>
      <c r="C106" s="48" t="n"/>
      <c r="D106" s="49" t="n"/>
      <c r="E106" s="49" t="n"/>
      <c r="F106" s="50" t="n"/>
      <c r="G106" s="50" t="n"/>
      <c r="H106" s="49" t="n"/>
      <c r="I106" s="48" t="n"/>
      <c r="J106" s="49" t="n"/>
      <c r="K106" s="49" t="n"/>
      <c r="L106" s="49" t="n"/>
    </row>
    <row r="107" ht="18" customHeight="1">
      <c r="A107" s="42" t="n">
        <v>105</v>
      </c>
      <c r="B107" s="43" t="n"/>
      <c r="C107" s="44" t="n"/>
      <c r="D107" s="45" t="n"/>
      <c r="E107" s="45" t="n"/>
      <c r="F107" s="46" t="n"/>
      <c r="G107" s="46" t="n"/>
      <c r="H107" s="45" t="n"/>
      <c r="I107" s="44" t="n"/>
      <c r="J107" s="45" t="n"/>
      <c r="K107" s="45" t="n"/>
      <c r="L107" s="45" t="n"/>
    </row>
    <row r="108" ht="18" customHeight="1">
      <c r="A108" s="42" t="n">
        <v>106</v>
      </c>
      <c r="B108" s="47" t="n"/>
      <c r="C108" s="48" t="n"/>
      <c r="D108" s="49" t="n"/>
      <c r="E108" s="49" t="n"/>
      <c r="F108" s="50" t="n"/>
      <c r="G108" s="50" t="n"/>
      <c r="H108" s="49" t="n"/>
      <c r="I108" s="48" t="n"/>
      <c r="J108" s="49" t="n"/>
      <c r="K108" s="49" t="n"/>
      <c r="L108" s="49" t="n"/>
    </row>
    <row r="109" ht="18" customHeight="1">
      <c r="A109" s="42" t="n">
        <v>107</v>
      </c>
      <c r="B109" s="43" t="n"/>
      <c r="C109" s="44" t="n"/>
      <c r="D109" s="45" t="n"/>
      <c r="E109" s="45" t="n"/>
      <c r="F109" s="46" t="n"/>
      <c r="G109" s="46" t="n"/>
      <c r="H109" s="45" t="n"/>
      <c r="I109" s="44" t="n"/>
      <c r="J109" s="45" t="n"/>
      <c r="K109" s="45" t="n"/>
      <c r="L109" s="45" t="n"/>
    </row>
    <row r="110" ht="18" customHeight="1">
      <c r="A110" s="42" t="n">
        <v>108</v>
      </c>
      <c r="B110" s="47" t="n"/>
      <c r="C110" s="48" t="n"/>
      <c r="D110" s="49" t="n"/>
      <c r="E110" s="49" t="n"/>
      <c r="F110" s="50" t="n"/>
      <c r="G110" s="50" t="n"/>
      <c r="H110" s="49" t="n"/>
      <c r="I110" s="48" t="n"/>
      <c r="J110" s="49" t="n"/>
      <c r="K110" s="49" t="n"/>
      <c r="L110" s="49" t="n"/>
    </row>
    <row r="111" ht="18" customHeight="1">
      <c r="A111" s="42" t="n">
        <v>109</v>
      </c>
      <c r="B111" s="43" t="n"/>
      <c r="C111" s="44" t="n"/>
      <c r="D111" s="45" t="n"/>
      <c r="E111" s="45" t="n"/>
      <c r="F111" s="46" t="n"/>
      <c r="G111" s="46" t="n"/>
      <c r="H111" s="45" t="n"/>
      <c r="I111" s="44" t="n"/>
      <c r="J111" s="45" t="n"/>
      <c r="K111" s="45" t="n"/>
      <c r="L111" s="45" t="n"/>
    </row>
    <row r="112" ht="18" customHeight="1">
      <c r="A112" s="42" t="n">
        <v>110</v>
      </c>
      <c r="B112" s="47" t="n"/>
      <c r="C112" s="48" t="n"/>
      <c r="D112" s="49" t="n"/>
      <c r="E112" s="49" t="n"/>
      <c r="F112" s="50" t="n"/>
      <c r="G112" s="50" t="n"/>
      <c r="H112" s="49" t="n"/>
      <c r="I112" s="48" t="n"/>
      <c r="J112" s="49" t="n"/>
      <c r="K112" s="49" t="n"/>
      <c r="L112" s="49" t="n"/>
    </row>
    <row r="113" ht="18" customHeight="1">
      <c r="A113" s="42" t="n">
        <v>111</v>
      </c>
      <c r="B113" s="43" t="n"/>
      <c r="C113" s="44" t="n"/>
      <c r="D113" s="45" t="n"/>
      <c r="E113" s="45" t="n"/>
      <c r="F113" s="46" t="n"/>
      <c r="G113" s="46" t="n"/>
      <c r="H113" s="45" t="n"/>
      <c r="I113" s="44" t="n"/>
      <c r="J113" s="45" t="n"/>
      <c r="K113" s="45" t="n"/>
      <c r="L113" s="45" t="n"/>
    </row>
    <row r="114" ht="18" customHeight="1">
      <c r="A114" s="42" t="n">
        <v>112</v>
      </c>
      <c r="B114" s="47" t="n"/>
      <c r="C114" s="48" t="n"/>
      <c r="D114" s="49" t="n"/>
      <c r="E114" s="49" t="n"/>
      <c r="F114" s="50" t="n"/>
      <c r="G114" s="50" t="n"/>
      <c r="H114" s="49" t="n"/>
      <c r="I114" s="48" t="n"/>
      <c r="J114" s="49" t="n"/>
      <c r="K114" s="49" t="n"/>
      <c r="L114" s="49" t="n"/>
    </row>
    <row r="115" ht="18" customHeight="1">
      <c r="A115" s="42" t="n">
        <v>113</v>
      </c>
      <c r="B115" s="43" t="n"/>
      <c r="C115" s="44" t="n"/>
      <c r="D115" s="45" t="n"/>
      <c r="E115" s="45" t="n"/>
      <c r="F115" s="46" t="n"/>
      <c r="G115" s="46" t="n"/>
      <c r="H115" s="45" t="n"/>
      <c r="I115" s="44" t="n"/>
      <c r="J115" s="45" t="n"/>
      <c r="K115" s="45" t="n"/>
      <c r="L115" s="45" t="n"/>
    </row>
    <row r="116" ht="18" customHeight="1">
      <c r="A116" s="42" t="n">
        <v>114</v>
      </c>
      <c r="B116" s="47" t="n"/>
      <c r="C116" s="48" t="n"/>
      <c r="D116" s="49" t="n"/>
      <c r="E116" s="49" t="n"/>
      <c r="F116" s="50" t="n"/>
      <c r="G116" s="50" t="n"/>
      <c r="H116" s="49" t="n"/>
      <c r="I116" s="48" t="n"/>
      <c r="J116" s="49" t="n"/>
      <c r="K116" s="49" t="n"/>
      <c r="L116" s="49" t="n"/>
    </row>
    <row r="117" ht="18" customHeight="1">
      <c r="A117" s="42" t="n">
        <v>115</v>
      </c>
      <c r="B117" s="43" t="n"/>
      <c r="C117" s="44" t="n"/>
      <c r="D117" s="45" t="n"/>
      <c r="E117" s="45" t="n"/>
      <c r="F117" s="46" t="n"/>
      <c r="G117" s="46" t="n"/>
      <c r="H117" s="45" t="n"/>
      <c r="I117" s="44" t="n"/>
      <c r="J117" s="45" t="n"/>
      <c r="K117" s="45" t="n"/>
      <c r="L117" s="45" t="n"/>
    </row>
    <row r="118" ht="18" customHeight="1">
      <c r="A118" s="42" t="n">
        <v>116</v>
      </c>
      <c r="B118" s="47" t="n"/>
      <c r="C118" s="48" t="n"/>
      <c r="D118" s="49" t="n"/>
      <c r="E118" s="49" t="n"/>
      <c r="F118" s="50" t="n"/>
      <c r="G118" s="50" t="n"/>
      <c r="H118" s="49" t="n"/>
      <c r="I118" s="48" t="n"/>
      <c r="J118" s="49" t="n"/>
      <c r="K118" s="49" t="n"/>
      <c r="L118" s="49" t="n"/>
    </row>
    <row r="119" ht="18" customHeight="1">
      <c r="A119" s="42" t="n">
        <v>117</v>
      </c>
      <c r="B119" s="43" t="n"/>
      <c r="C119" s="44" t="n"/>
      <c r="D119" s="45" t="n"/>
      <c r="E119" s="45" t="n"/>
      <c r="F119" s="46" t="n"/>
      <c r="G119" s="46" t="n"/>
      <c r="H119" s="45" t="n"/>
      <c r="I119" s="44" t="n"/>
      <c r="J119" s="45" t="n"/>
      <c r="K119" s="45" t="n"/>
      <c r="L119" s="45" t="n"/>
    </row>
    <row r="120" ht="18" customHeight="1">
      <c r="A120" s="42" t="n">
        <v>118</v>
      </c>
      <c r="B120" s="47" t="n"/>
      <c r="C120" s="48" t="n"/>
      <c r="D120" s="49" t="n"/>
      <c r="E120" s="49" t="n"/>
      <c r="F120" s="50" t="n"/>
      <c r="G120" s="50" t="n"/>
      <c r="H120" s="49" t="n"/>
      <c r="I120" s="48" t="n"/>
      <c r="J120" s="49" t="n"/>
      <c r="K120" s="49" t="n"/>
      <c r="L120" s="49" t="n"/>
    </row>
    <row r="121" ht="18" customHeight="1">
      <c r="A121" s="42" t="n">
        <v>119</v>
      </c>
      <c r="B121" s="43" t="n"/>
      <c r="C121" s="44" t="n"/>
      <c r="D121" s="45" t="n"/>
      <c r="E121" s="45" t="n"/>
      <c r="F121" s="46" t="n"/>
      <c r="G121" s="46" t="n"/>
      <c r="H121" s="45" t="n"/>
      <c r="I121" s="44" t="n"/>
      <c r="J121" s="45" t="n"/>
      <c r="K121" s="45" t="n"/>
      <c r="L121" s="45" t="n"/>
    </row>
    <row r="122" ht="18" customHeight="1">
      <c r="A122" s="42" t="n">
        <v>120</v>
      </c>
      <c r="B122" s="47" t="n"/>
      <c r="C122" s="48" t="n"/>
      <c r="D122" s="49" t="n"/>
      <c r="E122" s="49" t="n"/>
      <c r="F122" s="50" t="n"/>
      <c r="G122" s="50" t="n"/>
      <c r="H122" s="49" t="n"/>
      <c r="I122" s="48" t="n"/>
      <c r="J122" s="49" t="n"/>
      <c r="K122" s="49" t="n"/>
      <c r="L122" s="49" t="n"/>
    </row>
    <row r="123" ht="18" customHeight="1">
      <c r="A123" s="42" t="n">
        <v>121</v>
      </c>
      <c r="B123" s="43" t="n"/>
      <c r="C123" s="44" t="n"/>
      <c r="D123" s="45" t="n"/>
      <c r="E123" s="45" t="n"/>
      <c r="F123" s="46" t="n"/>
      <c r="G123" s="46" t="n"/>
      <c r="H123" s="45" t="n"/>
      <c r="I123" s="44" t="n"/>
      <c r="J123" s="45" t="n"/>
      <c r="K123" s="45" t="n"/>
      <c r="L123" s="45" t="n"/>
    </row>
    <row r="124" ht="18" customHeight="1">
      <c r="A124" s="42" t="n">
        <v>122</v>
      </c>
      <c r="B124" s="47" t="n"/>
      <c r="C124" s="48" t="n"/>
      <c r="D124" s="49" t="n"/>
      <c r="E124" s="49" t="n"/>
      <c r="F124" s="50" t="n"/>
      <c r="G124" s="50" t="n"/>
      <c r="H124" s="49" t="n"/>
      <c r="I124" s="48" t="n"/>
      <c r="J124" s="49" t="n"/>
      <c r="K124" s="49" t="n"/>
      <c r="L124" s="49" t="n"/>
    </row>
    <row r="125" ht="18" customHeight="1">
      <c r="A125" s="42" t="n">
        <v>123</v>
      </c>
      <c r="B125" s="43" t="n"/>
      <c r="C125" s="44" t="n"/>
      <c r="D125" s="45" t="n"/>
      <c r="E125" s="45" t="n"/>
      <c r="F125" s="46" t="n"/>
      <c r="G125" s="46" t="n"/>
      <c r="H125" s="45" t="n"/>
      <c r="I125" s="44" t="n"/>
      <c r="J125" s="45" t="n"/>
      <c r="K125" s="45" t="n"/>
      <c r="L125" s="45" t="n"/>
    </row>
    <row r="126" ht="18" customHeight="1">
      <c r="A126" s="42" t="n">
        <v>124</v>
      </c>
      <c r="B126" s="47" t="n"/>
      <c r="C126" s="48" t="n"/>
      <c r="D126" s="49" t="n"/>
      <c r="E126" s="49" t="n"/>
      <c r="F126" s="50" t="n"/>
      <c r="G126" s="50" t="n"/>
      <c r="H126" s="49" t="n"/>
      <c r="I126" s="48" t="n"/>
      <c r="J126" s="49" t="n"/>
      <c r="K126" s="49" t="n"/>
      <c r="L126" s="49" t="n"/>
    </row>
    <row r="127" ht="18" customHeight="1">
      <c r="A127" s="42" t="n">
        <v>125</v>
      </c>
      <c r="B127" s="43" t="n"/>
      <c r="C127" s="44" t="n"/>
      <c r="D127" s="45" t="n"/>
      <c r="E127" s="45" t="n"/>
      <c r="F127" s="46" t="n"/>
      <c r="G127" s="46" t="n"/>
      <c r="H127" s="45" t="n"/>
      <c r="I127" s="44" t="n"/>
      <c r="J127" s="45" t="n"/>
      <c r="K127" s="45" t="n"/>
      <c r="L127" s="45" t="n"/>
    </row>
    <row r="128" ht="18" customHeight="1">
      <c r="A128" s="42" t="n">
        <v>126</v>
      </c>
      <c r="B128" s="47" t="n"/>
      <c r="C128" s="48" t="n"/>
      <c r="D128" s="49" t="n"/>
      <c r="E128" s="49" t="n"/>
      <c r="F128" s="50" t="n"/>
      <c r="G128" s="50" t="n"/>
      <c r="H128" s="49" t="n"/>
      <c r="I128" s="48" t="n"/>
      <c r="J128" s="49" t="n"/>
      <c r="K128" s="49" t="n"/>
      <c r="L128" s="49" t="n"/>
    </row>
    <row r="129" ht="18" customHeight="1">
      <c r="A129" s="42" t="n">
        <v>127</v>
      </c>
      <c r="B129" s="43" t="n"/>
      <c r="C129" s="44" t="n"/>
      <c r="D129" s="45" t="n"/>
      <c r="E129" s="45" t="n"/>
      <c r="F129" s="46" t="n"/>
      <c r="G129" s="46" t="n"/>
      <c r="H129" s="45" t="n"/>
      <c r="I129" s="44" t="n"/>
      <c r="J129" s="45" t="n"/>
      <c r="K129" s="45" t="n"/>
      <c r="L129" s="45" t="n"/>
    </row>
    <row r="130" ht="18" customHeight="1">
      <c r="A130" s="42" t="n">
        <v>128</v>
      </c>
      <c r="B130" s="47" t="n"/>
      <c r="C130" s="48" t="n"/>
      <c r="D130" s="49" t="n"/>
      <c r="E130" s="49" t="n"/>
      <c r="F130" s="50" t="n"/>
      <c r="G130" s="50" t="n"/>
      <c r="H130" s="49" t="n"/>
      <c r="I130" s="48" t="n"/>
      <c r="J130" s="49" t="n"/>
      <c r="K130" s="49" t="n"/>
      <c r="L130" s="49" t="n"/>
    </row>
    <row r="131" ht="18" customHeight="1">
      <c r="A131" s="42" t="n">
        <v>129</v>
      </c>
      <c r="B131" s="43" t="n"/>
      <c r="C131" s="44" t="n"/>
      <c r="D131" s="45" t="n"/>
      <c r="E131" s="45" t="n"/>
      <c r="F131" s="46" t="n"/>
      <c r="G131" s="46" t="n"/>
      <c r="H131" s="45" t="n"/>
      <c r="I131" s="44" t="n"/>
      <c r="J131" s="45" t="n"/>
      <c r="K131" s="45" t="n"/>
      <c r="L131" s="45" t="n"/>
    </row>
    <row r="132" ht="18" customHeight="1">
      <c r="A132" s="42" t="n">
        <v>130</v>
      </c>
      <c r="B132" s="47" t="n"/>
      <c r="C132" s="48" t="n"/>
      <c r="D132" s="49" t="n"/>
      <c r="E132" s="49" t="n"/>
      <c r="F132" s="50" t="n"/>
      <c r="G132" s="50" t="n"/>
      <c r="H132" s="49" t="n"/>
      <c r="I132" s="48" t="n"/>
      <c r="J132" s="49" t="n"/>
      <c r="K132" s="49" t="n"/>
      <c r="L132" s="49" t="n"/>
    </row>
    <row r="133" ht="18" customHeight="1">
      <c r="A133" s="42" t="n">
        <v>131</v>
      </c>
      <c r="B133" s="43" t="n"/>
      <c r="C133" s="44" t="n"/>
      <c r="D133" s="45" t="n"/>
      <c r="E133" s="45" t="n"/>
      <c r="F133" s="46" t="n"/>
      <c r="G133" s="46" t="n"/>
      <c r="H133" s="45" t="n"/>
      <c r="I133" s="44" t="n"/>
      <c r="J133" s="45" t="n"/>
      <c r="K133" s="45" t="n"/>
      <c r="L133" s="45" t="n"/>
    </row>
    <row r="134" ht="18" customHeight="1">
      <c r="A134" s="42" t="n">
        <v>132</v>
      </c>
      <c r="B134" s="47" t="n"/>
      <c r="C134" s="48" t="n"/>
      <c r="D134" s="49" t="n"/>
      <c r="E134" s="49" t="n"/>
      <c r="F134" s="50" t="n"/>
      <c r="G134" s="50" t="n"/>
      <c r="H134" s="49" t="n"/>
      <c r="I134" s="48" t="n"/>
      <c r="J134" s="49" t="n"/>
      <c r="K134" s="49" t="n"/>
      <c r="L134" s="49" t="n"/>
    </row>
    <row r="135" ht="18" customHeight="1">
      <c r="A135" s="42" t="n">
        <v>133</v>
      </c>
      <c r="B135" s="43" t="n"/>
      <c r="C135" s="44" t="n"/>
      <c r="D135" s="45" t="n"/>
      <c r="E135" s="45" t="n"/>
      <c r="F135" s="46" t="n"/>
      <c r="G135" s="46" t="n"/>
      <c r="H135" s="45" t="n"/>
      <c r="I135" s="44" t="n"/>
      <c r="J135" s="45" t="n"/>
      <c r="K135" s="45" t="n"/>
      <c r="L135" s="45" t="n"/>
    </row>
    <row r="136" ht="18" customHeight="1">
      <c r="A136" s="42" t="n">
        <v>134</v>
      </c>
      <c r="B136" s="47" t="n"/>
      <c r="C136" s="48" t="n"/>
      <c r="D136" s="49" t="n"/>
      <c r="E136" s="49" t="n"/>
      <c r="F136" s="50" t="n"/>
      <c r="G136" s="50" t="n"/>
      <c r="H136" s="49" t="n"/>
      <c r="I136" s="48" t="n"/>
      <c r="J136" s="49" t="n"/>
      <c r="K136" s="49" t="n"/>
      <c r="L136" s="49" t="n"/>
    </row>
    <row r="137" ht="18" customHeight="1">
      <c r="A137" s="42" t="n">
        <v>135</v>
      </c>
      <c r="B137" s="43" t="n"/>
      <c r="C137" s="44" t="n"/>
      <c r="D137" s="45" t="n"/>
      <c r="E137" s="45" t="n"/>
      <c r="F137" s="46" t="n"/>
      <c r="G137" s="46" t="n"/>
      <c r="H137" s="45" t="n"/>
      <c r="I137" s="44" t="n"/>
      <c r="J137" s="45" t="n"/>
      <c r="K137" s="45" t="n"/>
      <c r="L137" s="45" t="n"/>
    </row>
    <row r="138" ht="18" customHeight="1">
      <c r="A138" s="42" t="n">
        <v>136</v>
      </c>
      <c r="B138" s="47" t="n"/>
      <c r="C138" s="48" t="n"/>
      <c r="D138" s="49" t="n"/>
      <c r="E138" s="49" t="n"/>
      <c r="F138" s="50" t="n"/>
      <c r="G138" s="50" t="n"/>
      <c r="H138" s="49" t="n"/>
      <c r="I138" s="48" t="n"/>
      <c r="J138" s="49" t="n"/>
      <c r="K138" s="49" t="n"/>
      <c r="L138" s="49" t="n"/>
    </row>
    <row r="139" ht="18" customHeight="1">
      <c r="A139" s="42" t="n">
        <v>137</v>
      </c>
      <c r="B139" s="43" t="n"/>
      <c r="C139" s="44" t="n"/>
      <c r="D139" s="45" t="n"/>
      <c r="E139" s="45" t="n"/>
      <c r="F139" s="46" t="n"/>
      <c r="G139" s="46" t="n"/>
      <c r="H139" s="45" t="n"/>
      <c r="I139" s="44" t="n"/>
      <c r="J139" s="45" t="n"/>
      <c r="K139" s="45" t="n"/>
      <c r="L139" s="45" t="n"/>
    </row>
    <row r="140" ht="18" customHeight="1">
      <c r="A140" s="42" t="n">
        <v>138</v>
      </c>
      <c r="B140" s="47" t="n"/>
      <c r="C140" s="48" t="n"/>
      <c r="D140" s="49" t="n"/>
      <c r="E140" s="49" t="n"/>
      <c r="F140" s="50" t="n"/>
      <c r="G140" s="50" t="n"/>
      <c r="H140" s="49" t="n"/>
      <c r="I140" s="48" t="n"/>
      <c r="J140" s="49" t="n"/>
      <c r="K140" s="49" t="n"/>
      <c r="L140" s="49" t="n"/>
    </row>
    <row r="141" ht="18" customHeight="1">
      <c r="A141" s="42" t="n">
        <v>139</v>
      </c>
      <c r="B141" s="43" t="n"/>
      <c r="C141" s="44" t="n"/>
      <c r="D141" s="45" t="n"/>
      <c r="E141" s="45" t="n"/>
      <c r="F141" s="46" t="n"/>
      <c r="G141" s="46" t="n"/>
      <c r="H141" s="45" t="n"/>
      <c r="I141" s="44" t="n"/>
      <c r="J141" s="45" t="n"/>
      <c r="K141" s="45" t="n"/>
      <c r="L141" s="45" t="n"/>
    </row>
    <row r="142" ht="18" customHeight="1">
      <c r="A142" s="42" t="n">
        <v>140</v>
      </c>
      <c r="B142" s="47" t="n"/>
      <c r="C142" s="48" t="n"/>
      <c r="D142" s="49" t="n"/>
      <c r="E142" s="49" t="n"/>
      <c r="F142" s="50" t="n"/>
      <c r="G142" s="50" t="n"/>
      <c r="H142" s="49" t="n"/>
      <c r="I142" s="48" t="n"/>
      <c r="J142" s="49" t="n"/>
      <c r="K142" s="49" t="n"/>
      <c r="L142" s="49" t="n"/>
    </row>
    <row r="143" ht="18" customHeight="1">
      <c r="A143" s="42" t="n">
        <v>141</v>
      </c>
      <c r="B143" s="43" t="n"/>
      <c r="C143" s="44" t="n"/>
      <c r="D143" s="45" t="n"/>
      <c r="E143" s="45" t="n"/>
      <c r="F143" s="46" t="n"/>
      <c r="G143" s="46" t="n"/>
      <c r="H143" s="45" t="n"/>
      <c r="I143" s="44" t="n"/>
      <c r="J143" s="45" t="n"/>
      <c r="K143" s="45" t="n"/>
      <c r="L143" s="45" t="n"/>
    </row>
    <row r="144" ht="18" customHeight="1">
      <c r="A144" s="42" t="n">
        <v>142</v>
      </c>
      <c r="B144" s="47" t="n"/>
      <c r="C144" s="48" t="n"/>
      <c r="D144" s="49" t="n"/>
      <c r="E144" s="49" t="n"/>
      <c r="F144" s="50" t="n"/>
      <c r="G144" s="50" t="n"/>
      <c r="H144" s="49" t="n"/>
      <c r="I144" s="48" t="n"/>
      <c r="J144" s="49" t="n"/>
      <c r="K144" s="49" t="n"/>
      <c r="L144" s="49" t="n"/>
    </row>
    <row r="145" ht="18" customHeight="1">
      <c r="A145" s="42" t="n">
        <v>143</v>
      </c>
      <c r="B145" s="43" t="n"/>
      <c r="C145" s="44" t="n"/>
      <c r="D145" s="45" t="n"/>
      <c r="E145" s="45" t="n"/>
      <c r="F145" s="46" t="n"/>
      <c r="G145" s="46" t="n"/>
      <c r="H145" s="45" t="n"/>
      <c r="I145" s="44" t="n"/>
      <c r="J145" s="45" t="n"/>
      <c r="K145" s="45" t="n"/>
      <c r="L145" s="45" t="n"/>
    </row>
    <row r="146" ht="18" customHeight="1">
      <c r="A146" s="42" t="n">
        <v>144</v>
      </c>
      <c r="B146" s="47" t="n"/>
      <c r="C146" s="48" t="n"/>
      <c r="D146" s="49" t="n"/>
      <c r="E146" s="49" t="n"/>
      <c r="F146" s="50" t="n"/>
      <c r="G146" s="50" t="n"/>
      <c r="H146" s="49" t="n"/>
      <c r="I146" s="48" t="n"/>
      <c r="J146" s="49" t="n"/>
      <c r="K146" s="49" t="n"/>
      <c r="L146" s="49" t="n"/>
    </row>
    <row r="147" ht="18" customHeight="1">
      <c r="A147" s="42" t="n">
        <v>145</v>
      </c>
      <c r="B147" s="43" t="n"/>
      <c r="C147" s="44" t="n"/>
      <c r="D147" s="45" t="n"/>
      <c r="E147" s="45" t="n"/>
      <c r="F147" s="46" t="n"/>
      <c r="G147" s="46" t="n"/>
      <c r="H147" s="45" t="n"/>
      <c r="I147" s="44" t="n"/>
      <c r="J147" s="45" t="n"/>
      <c r="K147" s="45" t="n"/>
      <c r="L147" s="45" t="n"/>
    </row>
    <row r="148" ht="18" customHeight="1">
      <c r="A148" s="42" t="n">
        <v>146</v>
      </c>
      <c r="B148" s="47" t="n"/>
      <c r="C148" s="48" t="n"/>
      <c r="D148" s="49" t="n"/>
      <c r="E148" s="49" t="n"/>
      <c r="F148" s="50" t="n"/>
      <c r="G148" s="50" t="n"/>
      <c r="H148" s="49" t="n"/>
      <c r="I148" s="48" t="n"/>
      <c r="J148" s="49" t="n"/>
      <c r="K148" s="49" t="n"/>
      <c r="L148" s="49" t="n"/>
    </row>
    <row r="149" ht="18" customHeight="1">
      <c r="A149" s="42" t="n">
        <v>147</v>
      </c>
      <c r="B149" s="43" t="n"/>
      <c r="C149" s="44" t="n"/>
      <c r="D149" s="45" t="n"/>
      <c r="E149" s="45" t="n"/>
      <c r="F149" s="46" t="n"/>
      <c r="G149" s="46" t="n"/>
      <c r="H149" s="45" t="n"/>
      <c r="I149" s="44" t="n"/>
      <c r="J149" s="45" t="n"/>
      <c r="K149" s="45" t="n"/>
      <c r="L149" s="45" t="n"/>
    </row>
    <row r="150" ht="18" customHeight="1">
      <c r="A150" s="42" t="n">
        <v>148</v>
      </c>
      <c r="B150" s="47" t="n"/>
      <c r="C150" s="48" t="n"/>
      <c r="D150" s="49" t="n"/>
      <c r="E150" s="49" t="n"/>
      <c r="F150" s="50" t="n"/>
      <c r="G150" s="50" t="n"/>
      <c r="H150" s="49" t="n"/>
      <c r="I150" s="48" t="n"/>
      <c r="J150" s="49" t="n"/>
      <c r="K150" s="49" t="n"/>
      <c r="L150" s="49" t="n"/>
    </row>
    <row r="151" ht="18" customHeight="1">
      <c r="A151" s="42" t="n">
        <v>149</v>
      </c>
      <c r="B151" s="43" t="n"/>
      <c r="C151" s="44" t="n"/>
      <c r="D151" s="45" t="n"/>
      <c r="E151" s="45" t="n"/>
      <c r="F151" s="46" t="n"/>
      <c r="G151" s="46" t="n"/>
      <c r="H151" s="45" t="n"/>
      <c r="I151" s="44" t="n"/>
      <c r="J151" s="45" t="n"/>
      <c r="K151" s="45" t="n"/>
      <c r="L151" s="45" t="n"/>
    </row>
    <row r="152" ht="18" customHeight="1">
      <c r="A152" s="42" t="n">
        <v>150</v>
      </c>
      <c r="B152" s="47" t="n"/>
      <c r="C152" s="48" t="n"/>
      <c r="D152" s="49" t="n"/>
      <c r="E152" s="49" t="n"/>
      <c r="F152" s="50" t="n"/>
      <c r="G152" s="50" t="n"/>
      <c r="H152" s="49" t="n"/>
      <c r="I152" s="48" t="n"/>
      <c r="J152" s="49" t="n"/>
      <c r="K152" s="49" t="n"/>
      <c r="L152" s="49" t="n"/>
    </row>
    <row r="153" ht="18" customHeight="1">
      <c r="A153" s="42" t="n">
        <v>151</v>
      </c>
      <c r="B153" s="43" t="n"/>
      <c r="C153" s="44" t="n"/>
      <c r="D153" s="45" t="n"/>
      <c r="E153" s="45" t="n"/>
      <c r="F153" s="46" t="n"/>
      <c r="G153" s="46" t="n"/>
      <c r="H153" s="45" t="n"/>
      <c r="I153" s="44" t="n"/>
      <c r="J153" s="45" t="n"/>
      <c r="K153" s="45" t="n"/>
      <c r="L153" s="45" t="n"/>
    </row>
    <row r="154" ht="18" customHeight="1">
      <c r="A154" s="42" t="n">
        <v>152</v>
      </c>
      <c r="B154" s="47" t="n"/>
      <c r="C154" s="48" t="n"/>
      <c r="D154" s="49" t="n"/>
      <c r="E154" s="49" t="n"/>
      <c r="F154" s="50" t="n"/>
      <c r="G154" s="50" t="n"/>
      <c r="H154" s="49" t="n"/>
      <c r="I154" s="48" t="n"/>
      <c r="J154" s="49" t="n"/>
      <c r="K154" s="49" t="n"/>
      <c r="L154" s="49" t="n"/>
    </row>
    <row r="155" ht="18" customHeight="1">
      <c r="A155" s="42" t="n">
        <v>153</v>
      </c>
      <c r="B155" s="43" t="n"/>
      <c r="C155" s="44" t="n"/>
      <c r="D155" s="45" t="n"/>
      <c r="E155" s="45" t="n"/>
      <c r="F155" s="46" t="n"/>
      <c r="G155" s="46" t="n"/>
      <c r="H155" s="45" t="n"/>
      <c r="I155" s="44" t="n"/>
      <c r="J155" s="45" t="n"/>
      <c r="K155" s="45" t="n"/>
      <c r="L155" s="45" t="n"/>
    </row>
    <row r="156" ht="18" customHeight="1">
      <c r="A156" s="42" t="n">
        <v>154</v>
      </c>
      <c r="B156" s="47" t="n"/>
      <c r="C156" s="48" t="n"/>
      <c r="D156" s="49" t="n"/>
      <c r="E156" s="49" t="n"/>
      <c r="F156" s="50" t="n"/>
      <c r="G156" s="50" t="n"/>
      <c r="H156" s="49" t="n"/>
      <c r="I156" s="48" t="n"/>
      <c r="J156" s="49" t="n"/>
      <c r="K156" s="49" t="n"/>
      <c r="L156" s="49" t="n"/>
    </row>
    <row r="157" ht="18" customHeight="1">
      <c r="A157" s="42" t="n">
        <v>155</v>
      </c>
      <c r="B157" s="43" t="n"/>
      <c r="C157" s="44" t="n"/>
      <c r="D157" s="45" t="n"/>
      <c r="E157" s="45" t="n"/>
      <c r="F157" s="46" t="n"/>
      <c r="G157" s="46" t="n"/>
      <c r="H157" s="45" t="n"/>
      <c r="I157" s="44" t="n"/>
      <c r="J157" s="45" t="n"/>
      <c r="K157" s="45" t="n"/>
      <c r="L157" s="45" t="n"/>
    </row>
    <row r="158" ht="18" customHeight="1">
      <c r="A158" s="42" t="n">
        <v>156</v>
      </c>
      <c r="B158" s="47" t="n"/>
      <c r="C158" s="48" t="n"/>
      <c r="D158" s="49" t="n"/>
      <c r="E158" s="49" t="n"/>
      <c r="F158" s="50" t="n"/>
      <c r="G158" s="50" t="n"/>
      <c r="H158" s="49" t="n"/>
      <c r="I158" s="48" t="n"/>
      <c r="J158" s="49" t="n"/>
      <c r="K158" s="49" t="n"/>
      <c r="L158" s="49" t="n"/>
    </row>
    <row r="159" ht="18" customHeight="1">
      <c r="A159" s="42" t="n">
        <v>157</v>
      </c>
      <c r="B159" s="43" t="n"/>
      <c r="C159" s="44" t="n"/>
      <c r="D159" s="45" t="n"/>
      <c r="E159" s="45" t="n"/>
      <c r="F159" s="46" t="n"/>
      <c r="G159" s="46" t="n"/>
      <c r="H159" s="45" t="n"/>
      <c r="I159" s="44" t="n"/>
      <c r="J159" s="45" t="n"/>
      <c r="K159" s="45" t="n"/>
      <c r="L159" s="45" t="n"/>
    </row>
    <row r="160" ht="18" customHeight="1">
      <c r="A160" s="42" t="n">
        <v>158</v>
      </c>
      <c r="B160" s="47" t="n"/>
      <c r="C160" s="48" t="n"/>
      <c r="D160" s="49" t="n"/>
      <c r="E160" s="49" t="n"/>
      <c r="F160" s="50" t="n"/>
      <c r="G160" s="50" t="n"/>
      <c r="H160" s="49" t="n"/>
      <c r="I160" s="48" t="n"/>
      <c r="J160" s="49" t="n"/>
      <c r="K160" s="49" t="n"/>
      <c r="L160" s="49" t="n"/>
    </row>
    <row r="161" ht="18" customHeight="1">
      <c r="A161" s="42" t="n">
        <v>159</v>
      </c>
      <c r="B161" s="43" t="n"/>
      <c r="C161" s="44" t="n"/>
      <c r="D161" s="45" t="n"/>
      <c r="E161" s="45" t="n"/>
      <c r="F161" s="46" t="n"/>
      <c r="G161" s="46" t="n"/>
      <c r="H161" s="45" t="n"/>
      <c r="I161" s="44" t="n"/>
      <c r="J161" s="45" t="n"/>
      <c r="K161" s="45" t="n"/>
      <c r="L161" s="45" t="n"/>
    </row>
    <row r="162" ht="18" customHeight="1">
      <c r="A162" s="42" t="n">
        <v>160</v>
      </c>
      <c r="B162" s="47" t="n"/>
      <c r="C162" s="48" t="n"/>
      <c r="D162" s="49" t="n"/>
      <c r="E162" s="49" t="n"/>
      <c r="F162" s="50" t="n"/>
      <c r="G162" s="50" t="n"/>
      <c r="H162" s="49" t="n"/>
      <c r="I162" s="48" t="n"/>
      <c r="J162" s="49" t="n"/>
      <c r="K162" s="49" t="n"/>
      <c r="L162" s="49" t="n"/>
    </row>
    <row r="163" ht="18" customHeight="1">
      <c r="A163" s="42" t="n">
        <v>161</v>
      </c>
      <c r="B163" s="43" t="n"/>
      <c r="C163" s="44" t="n"/>
      <c r="D163" s="45" t="n"/>
      <c r="E163" s="45" t="n"/>
      <c r="F163" s="46" t="n"/>
      <c r="G163" s="46" t="n"/>
      <c r="H163" s="45" t="n"/>
      <c r="I163" s="44" t="n"/>
      <c r="J163" s="45" t="n"/>
      <c r="K163" s="45" t="n"/>
      <c r="L163" s="45" t="n"/>
    </row>
    <row r="164" ht="18" customHeight="1">
      <c r="A164" s="42" t="n">
        <v>162</v>
      </c>
      <c r="B164" s="47" t="n"/>
      <c r="C164" s="48" t="n"/>
      <c r="D164" s="49" t="n"/>
      <c r="E164" s="49" t="n"/>
      <c r="F164" s="50" t="n"/>
      <c r="G164" s="50" t="n"/>
      <c r="H164" s="49" t="n"/>
      <c r="I164" s="48" t="n"/>
      <c r="J164" s="49" t="n"/>
      <c r="K164" s="49" t="n"/>
      <c r="L164" s="49" t="n"/>
    </row>
    <row r="165" ht="18" customHeight="1">
      <c r="A165" s="42" t="n">
        <v>163</v>
      </c>
      <c r="B165" s="43" t="n"/>
      <c r="C165" s="44" t="n"/>
      <c r="D165" s="45" t="n"/>
      <c r="E165" s="45" t="n"/>
      <c r="F165" s="46" t="n"/>
      <c r="G165" s="46" t="n"/>
      <c r="H165" s="45" t="n"/>
      <c r="I165" s="44" t="n"/>
      <c r="J165" s="45" t="n"/>
      <c r="K165" s="45" t="n"/>
      <c r="L165" s="45" t="n"/>
    </row>
    <row r="166" ht="18" customHeight="1">
      <c r="A166" s="42" t="n">
        <v>164</v>
      </c>
      <c r="B166" s="47" t="n"/>
      <c r="C166" s="48" t="n"/>
      <c r="D166" s="49" t="n"/>
      <c r="E166" s="49" t="n"/>
      <c r="F166" s="50" t="n"/>
      <c r="G166" s="50" t="n"/>
      <c r="H166" s="49" t="n"/>
      <c r="I166" s="48" t="n"/>
      <c r="J166" s="49" t="n"/>
      <c r="K166" s="49" t="n"/>
      <c r="L166" s="49" t="n"/>
    </row>
    <row r="167" ht="18" customHeight="1">
      <c r="A167" s="42" t="n">
        <v>165</v>
      </c>
      <c r="B167" s="43" t="n"/>
      <c r="C167" s="44" t="n"/>
      <c r="D167" s="45" t="n"/>
      <c r="E167" s="45" t="n"/>
      <c r="F167" s="46" t="n"/>
      <c r="G167" s="46" t="n"/>
      <c r="H167" s="45" t="n"/>
      <c r="I167" s="44" t="n"/>
      <c r="J167" s="45" t="n"/>
      <c r="K167" s="45" t="n"/>
      <c r="L167" s="45" t="n"/>
    </row>
    <row r="168" ht="18" customHeight="1">
      <c r="A168" s="42" t="n">
        <v>166</v>
      </c>
      <c r="B168" s="47" t="n"/>
      <c r="C168" s="48" t="n"/>
      <c r="D168" s="49" t="n"/>
      <c r="E168" s="49" t="n"/>
      <c r="F168" s="50" t="n"/>
      <c r="G168" s="50" t="n"/>
      <c r="H168" s="49" t="n"/>
      <c r="I168" s="48" t="n"/>
      <c r="J168" s="49" t="n"/>
      <c r="K168" s="49" t="n"/>
      <c r="L168" s="49" t="n"/>
    </row>
    <row r="169" ht="18" customHeight="1">
      <c r="A169" s="42" t="n">
        <v>167</v>
      </c>
      <c r="B169" s="43" t="n"/>
      <c r="C169" s="44" t="n"/>
      <c r="D169" s="45" t="n"/>
      <c r="E169" s="45" t="n"/>
      <c r="F169" s="46" t="n"/>
      <c r="G169" s="46" t="n"/>
      <c r="H169" s="45" t="n"/>
      <c r="I169" s="44" t="n"/>
      <c r="J169" s="45" t="n"/>
      <c r="K169" s="45" t="n"/>
      <c r="L169" s="45" t="n"/>
    </row>
    <row r="170" ht="18" customHeight="1">
      <c r="A170" s="42" t="n">
        <v>168</v>
      </c>
      <c r="B170" s="47" t="n"/>
      <c r="C170" s="48" t="n"/>
      <c r="D170" s="49" t="n"/>
      <c r="E170" s="49" t="n"/>
      <c r="F170" s="50" t="n"/>
      <c r="G170" s="50" t="n"/>
      <c r="H170" s="49" t="n"/>
      <c r="I170" s="48" t="n"/>
      <c r="J170" s="49" t="n"/>
      <c r="K170" s="49" t="n"/>
      <c r="L170" s="49" t="n"/>
    </row>
    <row r="171" ht="18" customHeight="1">
      <c r="A171" s="42" t="n">
        <v>169</v>
      </c>
      <c r="B171" s="43" t="n"/>
      <c r="C171" s="44" t="n"/>
      <c r="D171" s="45" t="n"/>
      <c r="E171" s="45" t="n"/>
      <c r="F171" s="46" t="n"/>
      <c r="G171" s="46" t="n"/>
      <c r="H171" s="45" t="n"/>
      <c r="I171" s="44" t="n"/>
      <c r="J171" s="45" t="n"/>
      <c r="K171" s="45" t="n"/>
      <c r="L171" s="45" t="n"/>
    </row>
    <row r="172" ht="18" customHeight="1">
      <c r="A172" s="42" t="n">
        <v>170</v>
      </c>
      <c r="B172" s="47" t="n"/>
      <c r="C172" s="48" t="n"/>
      <c r="D172" s="49" t="n"/>
      <c r="E172" s="49" t="n"/>
      <c r="F172" s="50" t="n"/>
      <c r="G172" s="50" t="n"/>
      <c r="H172" s="49" t="n"/>
      <c r="I172" s="48" t="n"/>
      <c r="J172" s="49" t="n"/>
      <c r="K172" s="49" t="n"/>
      <c r="L172" s="49" t="n"/>
    </row>
    <row r="173" ht="18" customHeight="1">
      <c r="A173" s="42" t="n">
        <v>171</v>
      </c>
      <c r="B173" s="43" t="n"/>
      <c r="C173" s="44" t="n"/>
      <c r="D173" s="45" t="n"/>
      <c r="E173" s="45" t="n"/>
      <c r="F173" s="46" t="n"/>
      <c r="G173" s="46" t="n"/>
      <c r="H173" s="45" t="n"/>
      <c r="I173" s="44" t="n"/>
      <c r="J173" s="45" t="n"/>
      <c r="K173" s="45" t="n"/>
      <c r="L173" s="45" t="n"/>
    </row>
    <row r="174" ht="18" customHeight="1">
      <c r="A174" s="42" t="n">
        <v>172</v>
      </c>
      <c r="B174" s="47" t="n"/>
      <c r="C174" s="48" t="n"/>
      <c r="D174" s="49" t="n"/>
      <c r="E174" s="49" t="n"/>
      <c r="F174" s="50" t="n"/>
      <c r="G174" s="50" t="n"/>
      <c r="H174" s="49" t="n"/>
      <c r="I174" s="48" t="n"/>
      <c r="J174" s="49" t="n"/>
      <c r="K174" s="49" t="n"/>
      <c r="L174" s="49" t="n"/>
    </row>
    <row r="175" ht="18" customHeight="1">
      <c r="A175" s="42" t="n">
        <v>173</v>
      </c>
      <c r="B175" s="43" t="n"/>
      <c r="C175" s="44" t="n"/>
      <c r="D175" s="45" t="n"/>
      <c r="E175" s="45" t="n"/>
      <c r="F175" s="46" t="n"/>
      <c r="G175" s="46" t="n"/>
      <c r="H175" s="45" t="n"/>
      <c r="I175" s="44" t="n"/>
      <c r="J175" s="45" t="n"/>
      <c r="K175" s="45" t="n"/>
      <c r="L175" s="45" t="n"/>
    </row>
    <row r="176" ht="18" customHeight="1">
      <c r="A176" s="42" t="n">
        <v>174</v>
      </c>
      <c r="B176" s="47" t="n"/>
      <c r="C176" s="48" t="n"/>
      <c r="D176" s="49" t="n"/>
      <c r="E176" s="49" t="n"/>
      <c r="F176" s="50" t="n"/>
      <c r="G176" s="50" t="n"/>
      <c r="H176" s="49" t="n"/>
      <c r="I176" s="48" t="n"/>
      <c r="J176" s="49" t="n"/>
      <c r="K176" s="49" t="n"/>
      <c r="L176" s="49" t="n"/>
    </row>
    <row r="177" ht="18" customHeight="1">
      <c r="A177" s="42" t="n">
        <v>175</v>
      </c>
      <c r="B177" s="43" t="n"/>
      <c r="C177" s="44" t="n"/>
      <c r="D177" s="45" t="n"/>
      <c r="E177" s="45" t="n"/>
      <c r="F177" s="46" t="n"/>
      <c r="G177" s="46" t="n"/>
      <c r="H177" s="45" t="n"/>
      <c r="I177" s="44" t="n"/>
      <c r="J177" s="45" t="n"/>
      <c r="K177" s="45" t="n"/>
      <c r="L177" s="45" t="n"/>
    </row>
    <row r="178" ht="18" customHeight="1">
      <c r="A178" s="42" t="n">
        <v>176</v>
      </c>
      <c r="B178" s="47" t="n"/>
      <c r="C178" s="48" t="n"/>
      <c r="D178" s="49" t="n"/>
      <c r="E178" s="49" t="n"/>
      <c r="F178" s="50" t="n"/>
      <c r="G178" s="50" t="n"/>
      <c r="H178" s="49" t="n"/>
      <c r="I178" s="48" t="n"/>
      <c r="J178" s="49" t="n"/>
      <c r="K178" s="49" t="n"/>
      <c r="L178" s="49" t="n"/>
    </row>
    <row r="179" ht="18" customHeight="1">
      <c r="A179" s="42" t="n">
        <v>177</v>
      </c>
      <c r="B179" s="43" t="n"/>
      <c r="C179" s="44" t="n"/>
      <c r="D179" s="45" t="n"/>
      <c r="E179" s="45" t="n"/>
      <c r="F179" s="46" t="n"/>
      <c r="G179" s="46" t="n"/>
      <c r="H179" s="45" t="n"/>
      <c r="I179" s="44" t="n"/>
      <c r="J179" s="45" t="n"/>
      <c r="K179" s="45" t="n"/>
      <c r="L179" s="45" t="n"/>
    </row>
    <row r="180" ht="18" customHeight="1">
      <c r="A180" s="42" t="n">
        <v>178</v>
      </c>
      <c r="B180" s="47" t="n"/>
      <c r="C180" s="48" t="n"/>
      <c r="D180" s="49" t="n"/>
      <c r="E180" s="49" t="n"/>
      <c r="F180" s="50" t="n"/>
      <c r="G180" s="50" t="n"/>
      <c r="H180" s="49" t="n"/>
      <c r="I180" s="48" t="n"/>
      <c r="J180" s="49" t="n"/>
      <c r="K180" s="49" t="n"/>
      <c r="L180" s="49" t="n"/>
    </row>
    <row r="181" ht="18" customHeight="1">
      <c r="A181" s="42" t="n">
        <v>179</v>
      </c>
      <c r="B181" s="43" t="n"/>
      <c r="C181" s="44" t="n"/>
      <c r="D181" s="45" t="n"/>
      <c r="E181" s="45" t="n"/>
      <c r="F181" s="46" t="n"/>
      <c r="G181" s="46" t="n"/>
      <c r="H181" s="45" t="n"/>
      <c r="I181" s="44" t="n"/>
      <c r="J181" s="45" t="n"/>
      <c r="K181" s="45" t="n"/>
      <c r="L181" s="45" t="n"/>
    </row>
    <row r="182" ht="18" customHeight="1">
      <c r="A182" s="42" t="n">
        <v>180</v>
      </c>
      <c r="B182" s="47" t="n"/>
      <c r="C182" s="48" t="n"/>
      <c r="D182" s="49" t="n"/>
      <c r="E182" s="49" t="n"/>
      <c r="F182" s="50" t="n"/>
      <c r="G182" s="50" t="n"/>
      <c r="H182" s="49" t="n"/>
      <c r="I182" s="48" t="n"/>
      <c r="J182" s="49" t="n"/>
      <c r="K182" s="49" t="n"/>
      <c r="L182" s="49" t="n"/>
    </row>
    <row r="183" ht="18" customHeight="1">
      <c r="A183" s="42" t="n">
        <v>181</v>
      </c>
      <c r="B183" s="43" t="n"/>
      <c r="C183" s="44" t="n"/>
      <c r="D183" s="45" t="n"/>
      <c r="E183" s="45" t="n"/>
      <c r="F183" s="46" t="n"/>
      <c r="G183" s="46" t="n"/>
      <c r="H183" s="45" t="n"/>
      <c r="I183" s="44" t="n"/>
      <c r="J183" s="45" t="n"/>
      <c r="K183" s="45" t="n"/>
      <c r="L183" s="45" t="n"/>
    </row>
    <row r="184" ht="18" customHeight="1">
      <c r="A184" s="42" t="n">
        <v>182</v>
      </c>
      <c r="B184" s="47" t="n"/>
      <c r="C184" s="48" t="n"/>
      <c r="D184" s="49" t="n"/>
      <c r="E184" s="49" t="n"/>
      <c r="F184" s="50" t="n"/>
      <c r="G184" s="50" t="n"/>
      <c r="H184" s="49" t="n"/>
      <c r="I184" s="48" t="n"/>
      <c r="J184" s="49" t="n"/>
      <c r="K184" s="49" t="n"/>
      <c r="L184" s="49" t="n"/>
    </row>
    <row r="185" ht="18" customHeight="1">
      <c r="A185" s="42" t="n">
        <v>183</v>
      </c>
      <c r="B185" s="43" t="n"/>
      <c r="C185" s="44" t="n"/>
      <c r="D185" s="45" t="n"/>
      <c r="E185" s="45" t="n"/>
      <c r="F185" s="46" t="n"/>
      <c r="G185" s="46" t="n"/>
      <c r="H185" s="45" t="n"/>
      <c r="I185" s="44" t="n"/>
      <c r="J185" s="45" t="n"/>
      <c r="K185" s="45" t="n"/>
      <c r="L185" s="45" t="n"/>
    </row>
    <row r="186" ht="18" customHeight="1">
      <c r="A186" s="42" t="n">
        <v>184</v>
      </c>
      <c r="B186" s="47" t="n"/>
      <c r="C186" s="48" t="n"/>
      <c r="D186" s="49" t="n"/>
      <c r="E186" s="49" t="n"/>
      <c r="F186" s="50" t="n"/>
      <c r="G186" s="50" t="n"/>
      <c r="H186" s="49" t="n"/>
      <c r="I186" s="48" t="n"/>
      <c r="J186" s="49" t="n"/>
      <c r="K186" s="49" t="n"/>
      <c r="L186" s="49" t="n"/>
    </row>
    <row r="187" ht="18" customHeight="1">
      <c r="A187" s="42" t="n">
        <v>185</v>
      </c>
      <c r="B187" s="43" t="n"/>
      <c r="C187" s="44" t="n"/>
      <c r="D187" s="45" t="n"/>
      <c r="E187" s="45" t="n"/>
      <c r="F187" s="46" t="n"/>
      <c r="G187" s="46" t="n"/>
      <c r="H187" s="45" t="n"/>
      <c r="I187" s="44" t="n"/>
      <c r="J187" s="45" t="n"/>
      <c r="K187" s="45" t="n"/>
      <c r="L187" s="45" t="n"/>
    </row>
    <row r="188" ht="18" customHeight="1">
      <c r="A188" s="42" t="n">
        <v>186</v>
      </c>
      <c r="B188" s="47" t="n"/>
      <c r="C188" s="48" t="n"/>
      <c r="D188" s="49" t="n"/>
      <c r="E188" s="49" t="n"/>
      <c r="F188" s="50" t="n"/>
      <c r="G188" s="50" t="n"/>
      <c r="H188" s="49" t="n"/>
      <c r="I188" s="48" t="n"/>
      <c r="J188" s="49" t="n"/>
      <c r="K188" s="49" t="n"/>
      <c r="L188" s="49" t="n"/>
    </row>
    <row r="189" ht="18" customHeight="1">
      <c r="A189" s="42" t="n">
        <v>187</v>
      </c>
      <c r="B189" s="43" t="n"/>
      <c r="C189" s="44" t="n"/>
      <c r="D189" s="45" t="n"/>
      <c r="E189" s="45" t="n"/>
      <c r="F189" s="46" t="n"/>
      <c r="G189" s="46" t="n"/>
      <c r="H189" s="45" t="n"/>
      <c r="I189" s="44" t="n"/>
      <c r="J189" s="45" t="n"/>
      <c r="K189" s="45" t="n"/>
      <c r="L189" s="45" t="n"/>
    </row>
    <row r="190" ht="18" customHeight="1">
      <c r="A190" s="42" t="n">
        <v>188</v>
      </c>
      <c r="B190" s="47" t="n"/>
      <c r="C190" s="48" t="n"/>
      <c r="D190" s="49" t="n"/>
      <c r="E190" s="49" t="n"/>
      <c r="F190" s="50" t="n"/>
      <c r="G190" s="50" t="n"/>
      <c r="H190" s="49" t="n"/>
      <c r="I190" s="48" t="n"/>
      <c r="J190" s="49" t="n"/>
      <c r="K190" s="49" t="n"/>
      <c r="L190" s="49" t="n"/>
    </row>
    <row r="191" ht="18" customHeight="1">
      <c r="A191" s="42" t="n">
        <v>189</v>
      </c>
      <c r="B191" s="43" t="n"/>
      <c r="C191" s="44" t="n"/>
      <c r="D191" s="45" t="n"/>
      <c r="E191" s="45" t="n"/>
      <c r="F191" s="46" t="n"/>
      <c r="G191" s="46" t="n"/>
      <c r="H191" s="45" t="n"/>
      <c r="I191" s="44" t="n"/>
      <c r="J191" s="45" t="n"/>
      <c r="K191" s="45" t="n"/>
      <c r="L191" s="45" t="n"/>
    </row>
    <row r="192" ht="18" customHeight="1">
      <c r="A192" s="42" t="n">
        <v>190</v>
      </c>
      <c r="B192" s="47" t="n"/>
      <c r="C192" s="48" t="n"/>
      <c r="D192" s="49" t="n"/>
      <c r="E192" s="49" t="n"/>
      <c r="F192" s="50" t="n"/>
      <c r="G192" s="50" t="n"/>
      <c r="H192" s="49" t="n"/>
      <c r="I192" s="48" t="n"/>
      <c r="J192" s="49" t="n"/>
      <c r="K192" s="49" t="n"/>
      <c r="L192" s="49" t="n"/>
    </row>
    <row r="193" ht="18" customHeight="1">
      <c r="A193" s="42" t="n">
        <v>191</v>
      </c>
      <c r="B193" s="43" t="n"/>
      <c r="C193" s="44" t="n"/>
      <c r="D193" s="45" t="n"/>
      <c r="E193" s="45" t="n"/>
      <c r="F193" s="46" t="n"/>
      <c r="G193" s="46" t="n"/>
      <c r="H193" s="45" t="n"/>
      <c r="I193" s="44" t="n"/>
      <c r="J193" s="45" t="n"/>
      <c r="K193" s="45" t="n"/>
      <c r="L193" s="45" t="n"/>
    </row>
    <row r="194" ht="18" customHeight="1">
      <c r="A194" s="42" t="n">
        <v>192</v>
      </c>
      <c r="B194" s="47" t="n"/>
      <c r="C194" s="48" t="n"/>
      <c r="D194" s="49" t="n"/>
      <c r="E194" s="49" t="n"/>
      <c r="F194" s="50" t="n"/>
      <c r="G194" s="50" t="n"/>
      <c r="H194" s="49" t="n"/>
      <c r="I194" s="48" t="n"/>
      <c r="J194" s="49" t="n"/>
      <c r="K194" s="49" t="n"/>
      <c r="L194" s="49" t="n"/>
    </row>
    <row r="195" ht="18" customHeight="1">
      <c r="A195" s="42" t="n">
        <v>193</v>
      </c>
      <c r="B195" s="43" t="n"/>
      <c r="C195" s="44" t="n"/>
      <c r="D195" s="45" t="n"/>
      <c r="E195" s="45" t="n"/>
      <c r="F195" s="46" t="n"/>
      <c r="G195" s="46" t="n"/>
      <c r="H195" s="45" t="n"/>
      <c r="I195" s="44" t="n"/>
      <c r="J195" s="45" t="n"/>
      <c r="K195" s="45" t="n"/>
      <c r="L195" s="45" t="n"/>
    </row>
    <row r="196" ht="18" customHeight="1">
      <c r="A196" s="42" t="n">
        <v>194</v>
      </c>
      <c r="B196" s="47" t="n"/>
      <c r="C196" s="48" t="n"/>
      <c r="D196" s="49" t="n"/>
      <c r="E196" s="49" t="n"/>
      <c r="F196" s="50" t="n"/>
      <c r="G196" s="50" t="n"/>
      <c r="H196" s="49" t="n"/>
      <c r="I196" s="48" t="n"/>
      <c r="J196" s="49" t="n"/>
      <c r="K196" s="49" t="n"/>
      <c r="L196" s="49" t="n"/>
    </row>
    <row r="197" ht="18" customHeight="1">
      <c r="A197" s="42" t="n">
        <v>195</v>
      </c>
      <c r="B197" s="43" t="n"/>
      <c r="C197" s="44" t="n"/>
      <c r="D197" s="45" t="n"/>
      <c r="E197" s="45" t="n"/>
      <c r="F197" s="46" t="n"/>
      <c r="G197" s="46" t="n"/>
      <c r="H197" s="45" t="n"/>
      <c r="I197" s="44" t="n"/>
      <c r="J197" s="45" t="n"/>
      <c r="K197" s="45" t="n"/>
      <c r="L197" s="45" t="n"/>
    </row>
    <row r="198" ht="18" customHeight="1">
      <c r="A198" s="42" t="n">
        <v>196</v>
      </c>
      <c r="B198" s="47" t="n"/>
      <c r="C198" s="48" t="n"/>
      <c r="D198" s="49" t="n"/>
      <c r="E198" s="49" t="n"/>
      <c r="F198" s="50" t="n"/>
      <c r="G198" s="50" t="n"/>
      <c r="H198" s="49" t="n"/>
      <c r="I198" s="48" t="n"/>
      <c r="J198" s="49" t="n"/>
      <c r="K198" s="49" t="n"/>
      <c r="L198" s="49" t="n"/>
    </row>
    <row r="199" ht="18" customHeight="1">
      <c r="A199" s="42" t="n">
        <v>197</v>
      </c>
      <c r="B199" s="43" t="n"/>
      <c r="C199" s="44" t="n"/>
      <c r="D199" s="45" t="n"/>
      <c r="E199" s="45" t="n"/>
      <c r="F199" s="46" t="n"/>
      <c r="G199" s="46" t="n"/>
      <c r="H199" s="45" t="n"/>
      <c r="I199" s="44" t="n"/>
      <c r="J199" s="45" t="n"/>
      <c r="K199" s="45" t="n"/>
      <c r="L199" s="45" t="n"/>
    </row>
    <row r="200" ht="18" customHeight="1">
      <c r="A200" s="42" t="n">
        <v>198</v>
      </c>
      <c r="B200" s="47" t="n"/>
      <c r="C200" s="48" t="n"/>
      <c r="D200" s="49" t="n"/>
      <c r="E200" s="49" t="n"/>
      <c r="F200" s="50" t="n"/>
      <c r="G200" s="50" t="n"/>
      <c r="H200" s="49" t="n"/>
      <c r="I200" s="48" t="n"/>
      <c r="J200" s="49" t="n"/>
      <c r="K200" s="49" t="n"/>
      <c r="L200" s="49" t="n"/>
    </row>
    <row r="201" ht="18" customHeight="1">
      <c r="A201" s="42" t="n">
        <v>199</v>
      </c>
      <c r="B201" s="43" t="n"/>
      <c r="C201" s="44" t="n"/>
      <c r="D201" s="45" t="n"/>
      <c r="E201" s="45" t="n"/>
      <c r="F201" s="46" t="n"/>
      <c r="G201" s="46" t="n"/>
      <c r="H201" s="45" t="n"/>
      <c r="I201" s="44" t="n"/>
      <c r="J201" s="45" t="n"/>
      <c r="K201" s="45" t="n"/>
      <c r="L201" s="45" t="n"/>
    </row>
    <row r="202" ht="18" customHeight="1">
      <c r="A202" s="42" t="n">
        <v>200</v>
      </c>
      <c r="B202" s="47" t="n"/>
      <c r="C202" s="48" t="n"/>
      <c r="D202" s="49" t="n"/>
      <c r="E202" s="49" t="n"/>
      <c r="F202" s="50" t="n"/>
      <c r="G202" s="50" t="n"/>
      <c r="H202" s="49" t="n"/>
      <c r="I202" s="48" t="n"/>
      <c r="J202" s="49" t="n"/>
      <c r="K202" s="49" t="n"/>
      <c r="L202" s="49" t="n"/>
    </row>
    <row r="203" ht="18" customHeight="1">
      <c r="A203" s="42" t="n">
        <v>201</v>
      </c>
      <c r="B203" s="43" t="n"/>
      <c r="C203" s="44" t="n"/>
      <c r="D203" s="45" t="n"/>
      <c r="E203" s="45" t="n"/>
      <c r="F203" s="46" t="n"/>
      <c r="G203" s="46" t="n"/>
      <c r="H203" s="45" t="n"/>
      <c r="I203" s="44" t="n"/>
      <c r="J203" s="45" t="n"/>
      <c r="K203" s="45" t="n"/>
      <c r="L203" s="45" t="n"/>
    </row>
    <row r="204" ht="18" customHeight="1">
      <c r="A204" s="42" t="n">
        <v>202</v>
      </c>
      <c r="B204" s="47" t="n"/>
      <c r="C204" s="48" t="n"/>
      <c r="D204" s="49" t="n"/>
      <c r="E204" s="49" t="n"/>
      <c r="F204" s="50" t="n"/>
      <c r="G204" s="50" t="n"/>
      <c r="H204" s="49" t="n"/>
      <c r="I204" s="48" t="n"/>
      <c r="J204" s="49" t="n"/>
      <c r="K204" s="49" t="n"/>
      <c r="L204" s="49" t="n"/>
    </row>
    <row r="205" ht="18" customHeight="1">
      <c r="A205" s="42" t="n">
        <v>203</v>
      </c>
      <c r="B205" s="43" t="n"/>
      <c r="C205" s="44" t="n"/>
      <c r="D205" s="45" t="n"/>
      <c r="E205" s="45" t="n"/>
      <c r="F205" s="46" t="n"/>
      <c r="G205" s="46" t="n"/>
      <c r="H205" s="45" t="n"/>
      <c r="I205" s="44" t="n"/>
      <c r="J205" s="45" t="n"/>
      <c r="K205" s="45" t="n"/>
      <c r="L205" s="45" t="n"/>
    </row>
    <row r="206" ht="18" customHeight="1">
      <c r="A206" s="42" t="n">
        <v>204</v>
      </c>
      <c r="B206" s="47" t="n"/>
      <c r="C206" s="48" t="n"/>
      <c r="D206" s="49" t="n"/>
      <c r="E206" s="49" t="n"/>
      <c r="F206" s="50" t="n"/>
      <c r="G206" s="50" t="n"/>
      <c r="H206" s="49" t="n"/>
      <c r="I206" s="48" t="n"/>
      <c r="J206" s="49" t="n"/>
      <c r="K206" s="49" t="n"/>
      <c r="L206" s="49" t="n"/>
    </row>
    <row r="207" ht="18" customHeight="1">
      <c r="A207" s="42" t="n">
        <v>205</v>
      </c>
      <c r="B207" s="43" t="n"/>
      <c r="C207" s="44" t="n"/>
      <c r="D207" s="45" t="n"/>
      <c r="E207" s="45" t="n"/>
      <c r="F207" s="46" t="n"/>
      <c r="G207" s="46" t="n"/>
      <c r="H207" s="45" t="n"/>
      <c r="I207" s="44" t="n"/>
      <c r="J207" s="45" t="n"/>
      <c r="K207" s="45" t="n"/>
      <c r="L207" s="45" t="n"/>
    </row>
    <row r="208" ht="18" customHeight="1">
      <c r="A208" s="42" t="n">
        <v>206</v>
      </c>
      <c r="B208" s="47" t="n"/>
      <c r="C208" s="48" t="n"/>
      <c r="D208" s="49" t="n"/>
      <c r="E208" s="49" t="n"/>
      <c r="F208" s="50" t="n"/>
      <c r="G208" s="50" t="n"/>
      <c r="H208" s="49" t="n"/>
      <c r="I208" s="48" t="n"/>
      <c r="J208" s="49" t="n"/>
      <c r="K208" s="49" t="n"/>
      <c r="L208" s="49" t="n"/>
    </row>
    <row r="209" ht="18" customHeight="1">
      <c r="A209" s="42" t="n">
        <v>207</v>
      </c>
      <c r="B209" s="43" t="n"/>
      <c r="C209" s="44" t="n"/>
      <c r="D209" s="45" t="n"/>
      <c r="E209" s="45" t="n"/>
      <c r="F209" s="46" t="n"/>
      <c r="G209" s="46" t="n"/>
      <c r="H209" s="45" t="n"/>
      <c r="I209" s="44" t="n"/>
      <c r="J209" s="45" t="n"/>
      <c r="K209" s="45" t="n"/>
      <c r="L209" s="45" t="n"/>
    </row>
    <row r="210" ht="18" customHeight="1">
      <c r="A210" s="42" t="n">
        <v>208</v>
      </c>
      <c r="B210" s="47" t="n"/>
      <c r="C210" s="48" t="n"/>
      <c r="D210" s="49" t="n"/>
      <c r="E210" s="49" t="n"/>
      <c r="F210" s="50" t="n"/>
      <c r="G210" s="50" t="n"/>
      <c r="H210" s="49" t="n"/>
      <c r="I210" s="48" t="n"/>
      <c r="J210" s="49" t="n"/>
      <c r="K210" s="49" t="n"/>
      <c r="L210" s="49" t="n"/>
    </row>
    <row r="211" ht="18" customHeight="1">
      <c r="A211" s="42" t="n">
        <v>209</v>
      </c>
      <c r="B211" s="43" t="n"/>
      <c r="C211" s="44" t="n"/>
      <c r="D211" s="45" t="n"/>
      <c r="E211" s="45" t="n"/>
      <c r="F211" s="46" t="n"/>
      <c r="G211" s="46" t="n"/>
      <c r="H211" s="45" t="n"/>
      <c r="I211" s="44" t="n"/>
      <c r="J211" s="45" t="n"/>
      <c r="K211" s="45" t="n"/>
      <c r="L211" s="45" t="n"/>
    </row>
    <row r="212" ht="18" customHeight="1">
      <c r="A212" s="42" t="n">
        <v>210</v>
      </c>
      <c r="B212" s="47" t="n"/>
      <c r="C212" s="48" t="n"/>
      <c r="D212" s="49" t="n"/>
      <c r="E212" s="49" t="n"/>
      <c r="F212" s="50" t="n"/>
      <c r="G212" s="50" t="n"/>
      <c r="H212" s="49" t="n"/>
      <c r="I212" s="48" t="n"/>
      <c r="J212" s="49" t="n"/>
      <c r="K212" s="49" t="n"/>
      <c r="L212" s="49" t="n"/>
    </row>
    <row r="213" ht="18" customHeight="1">
      <c r="A213" s="42" t="n">
        <v>211</v>
      </c>
      <c r="B213" s="43" t="n"/>
      <c r="C213" s="44" t="n"/>
      <c r="D213" s="45" t="n"/>
      <c r="E213" s="45" t="n"/>
      <c r="F213" s="46" t="n"/>
      <c r="G213" s="46" t="n"/>
      <c r="H213" s="45" t="n"/>
      <c r="I213" s="44" t="n"/>
      <c r="J213" s="45" t="n"/>
      <c r="K213" s="45" t="n"/>
      <c r="L213" s="45" t="n"/>
    </row>
    <row r="214" ht="18" customHeight="1">
      <c r="A214" s="42" t="n">
        <v>212</v>
      </c>
      <c r="B214" s="47" t="n"/>
      <c r="C214" s="48" t="n"/>
      <c r="D214" s="49" t="n"/>
      <c r="E214" s="49" t="n"/>
      <c r="F214" s="50" t="n"/>
      <c r="G214" s="50" t="n"/>
      <c r="H214" s="49" t="n"/>
      <c r="I214" s="48" t="n"/>
      <c r="J214" s="49" t="n"/>
      <c r="K214" s="49" t="n"/>
      <c r="L214" s="49" t="n"/>
    </row>
    <row r="215" ht="18" customHeight="1">
      <c r="A215" s="42" t="n">
        <v>213</v>
      </c>
      <c r="B215" s="43" t="n"/>
      <c r="C215" s="44" t="n"/>
      <c r="D215" s="45" t="n"/>
      <c r="E215" s="45" t="n"/>
      <c r="F215" s="46" t="n"/>
      <c r="G215" s="46" t="n"/>
      <c r="H215" s="45" t="n"/>
      <c r="I215" s="44" t="n"/>
      <c r="J215" s="45" t="n"/>
      <c r="K215" s="45" t="n"/>
      <c r="L215" s="45" t="n"/>
    </row>
    <row r="216" ht="18" customHeight="1">
      <c r="A216" s="42" t="n">
        <v>214</v>
      </c>
      <c r="B216" s="47" t="n"/>
      <c r="C216" s="48" t="n"/>
      <c r="D216" s="49" t="n"/>
      <c r="E216" s="49" t="n"/>
      <c r="F216" s="50" t="n"/>
      <c r="G216" s="50" t="n"/>
      <c r="H216" s="49" t="n"/>
      <c r="I216" s="48" t="n"/>
      <c r="J216" s="49" t="n"/>
      <c r="K216" s="49" t="n"/>
      <c r="L216" s="49" t="n"/>
    </row>
    <row r="217" ht="18" customHeight="1">
      <c r="A217" s="42" t="n">
        <v>215</v>
      </c>
      <c r="B217" s="43" t="n"/>
      <c r="C217" s="44" t="n"/>
      <c r="D217" s="45" t="n"/>
      <c r="E217" s="45" t="n"/>
      <c r="F217" s="46" t="n"/>
      <c r="G217" s="46" t="n"/>
      <c r="H217" s="45" t="n"/>
      <c r="I217" s="44" t="n"/>
      <c r="J217" s="45" t="n"/>
      <c r="K217" s="45" t="n"/>
      <c r="L217" s="45" t="n"/>
    </row>
    <row r="218" ht="18" customHeight="1">
      <c r="A218" s="42" t="n">
        <v>216</v>
      </c>
      <c r="B218" s="47" t="n"/>
      <c r="C218" s="48" t="n"/>
      <c r="D218" s="49" t="n"/>
      <c r="E218" s="49" t="n"/>
      <c r="F218" s="50" t="n"/>
      <c r="G218" s="50" t="n"/>
      <c r="H218" s="49" t="n"/>
      <c r="I218" s="48" t="n"/>
      <c r="J218" s="49" t="n"/>
      <c r="K218" s="49" t="n"/>
      <c r="L218" s="49" t="n"/>
    </row>
    <row r="219" ht="18" customHeight="1">
      <c r="A219" s="42" t="n">
        <v>217</v>
      </c>
      <c r="B219" s="43" t="n"/>
      <c r="C219" s="44" t="n"/>
      <c r="D219" s="45" t="n"/>
      <c r="E219" s="45" t="n"/>
      <c r="F219" s="46" t="n"/>
      <c r="G219" s="46" t="n"/>
      <c r="H219" s="45" t="n"/>
      <c r="I219" s="44" t="n"/>
      <c r="J219" s="45" t="n"/>
      <c r="K219" s="45" t="n"/>
      <c r="L219" s="45" t="n"/>
    </row>
    <row r="220" ht="18" customHeight="1">
      <c r="A220" s="42" t="n">
        <v>218</v>
      </c>
      <c r="B220" s="47" t="n"/>
      <c r="C220" s="48" t="n"/>
      <c r="D220" s="49" t="n"/>
      <c r="E220" s="49" t="n"/>
      <c r="F220" s="50" t="n"/>
      <c r="G220" s="50" t="n"/>
      <c r="H220" s="49" t="n"/>
      <c r="I220" s="48" t="n"/>
      <c r="J220" s="49" t="n"/>
      <c r="K220" s="49" t="n"/>
      <c r="L220" s="49" t="n"/>
    </row>
    <row r="221" ht="18" customHeight="1">
      <c r="A221" s="42" t="n">
        <v>219</v>
      </c>
      <c r="B221" s="43" t="n"/>
      <c r="C221" s="44" t="n"/>
      <c r="D221" s="45" t="n"/>
      <c r="E221" s="45" t="n"/>
      <c r="F221" s="46" t="n"/>
      <c r="G221" s="46" t="n"/>
      <c r="H221" s="45" t="n"/>
      <c r="I221" s="44" t="n"/>
      <c r="J221" s="45" t="n"/>
      <c r="K221" s="45" t="n"/>
      <c r="L221" s="45" t="n"/>
    </row>
    <row r="222" ht="18" customHeight="1">
      <c r="A222" s="42" t="n">
        <v>220</v>
      </c>
      <c r="B222" s="47" t="n"/>
      <c r="C222" s="48" t="n"/>
      <c r="D222" s="49" t="n"/>
      <c r="E222" s="49" t="n"/>
      <c r="F222" s="50" t="n"/>
      <c r="G222" s="50" t="n"/>
      <c r="H222" s="49" t="n"/>
      <c r="I222" s="48" t="n"/>
      <c r="J222" s="49" t="n"/>
      <c r="K222" s="49" t="n"/>
      <c r="L222" s="49" t="n"/>
    </row>
    <row r="223" ht="18" customHeight="1">
      <c r="A223" s="42" t="n">
        <v>221</v>
      </c>
      <c r="B223" s="43" t="n"/>
      <c r="C223" s="44" t="n"/>
      <c r="D223" s="45" t="n"/>
      <c r="E223" s="45" t="n"/>
      <c r="F223" s="46" t="n"/>
      <c r="G223" s="46" t="n"/>
      <c r="H223" s="45" t="n"/>
      <c r="I223" s="44" t="n"/>
      <c r="J223" s="45" t="n"/>
      <c r="K223" s="45" t="n"/>
      <c r="L223" s="45" t="n"/>
    </row>
    <row r="224" ht="18" customHeight="1">
      <c r="A224" s="42" t="n">
        <v>222</v>
      </c>
      <c r="B224" s="47" t="n"/>
      <c r="C224" s="48" t="n"/>
      <c r="D224" s="49" t="n"/>
      <c r="E224" s="49" t="n"/>
      <c r="F224" s="50" t="n"/>
      <c r="G224" s="50" t="n"/>
      <c r="H224" s="49" t="n"/>
      <c r="I224" s="48" t="n"/>
      <c r="J224" s="49" t="n"/>
      <c r="K224" s="49" t="n"/>
      <c r="L224" s="49" t="n"/>
    </row>
    <row r="225" ht="18" customHeight="1">
      <c r="A225" s="42" t="n">
        <v>223</v>
      </c>
      <c r="B225" s="43" t="n"/>
      <c r="C225" s="44" t="n"/>
      <c r="D225" s="45" t="n"/>
      <c r="E225" s="45" t="n"/>
      <c r="F225" s="46" t="n"/>
      <c r="G225" s="46" t="n"/>
      <c r="H225" s="45" t="n"/>
      <c r="I225" s="44" t="n"/>
      <c r="J225" s="45" t="n"/>
      <c r="K225" s="45" t="n"/>
      <c r="L225" s="45" t="n"/>
    </row>
    <row r="226" ht="18" customHeight="1">
      <c r="A226" s="42" t="n">
        <v>224</v>
      </c>
      <c r="B226" s="47" t="n"/>
      <c r="C226" s="48" t="n"/>
      <c r="D226" s="49" t="n"/>
      <c r="E226" s="49" t="n"/>
      <c r="F226" s="50" t="n"/>
      <c r="G226" s="50" t="n"/>
      <c r="H226" s="49" t="n"/>
      <c r="I226" s="48" t="n"/>
      <c r="J226" s="49" t="n"/>
      <c r="K226" s="49" t="n"/>
      <c r="L226" s="49" t="n"/>
    </row>
    <row r="227" ht="18" customHeight="1">
      <c r="A227" s="42" t="n">
        <v>225</v>
      </c>
      <c r="B227" s="43" t="n"/>
      <c r="C227" s="44" t="n"/>
      <c r="D227" s="45" t="n"/>
      <c r="E227" s="45" t="n"/>
      <c r="F227" s="46" t="n"/>
      <c r="G227" s="46" t="n"/>
      <c r="H227" s="45" t="n"/>
      <c r="I227" s="44" t="n"/>
      <c r="J227" s="45" t="n"/>
      <c r="K227" s="45" t="n"/>
      <c r="L227" s="45" t="n"/>
    </row>
    <row r="228" ht="18" customHeight="1">
      <c r="A228" s="42" t="n">
        <v>226</v>
      </c>
      <c r="B228" s="47" t="n"/>
      <c r="C228" s="48" t="n"/>
      <c r="D228" s="49" t="n"/>
      <c r="E228" s="49" t="n"/>
      <c r="F228" s="50" t="n"/>
      <c r="G228" s="50" t="n"/>
      <c r="H228" s="49" t="n"/>
      <c r="I228" s="48" t="n"/>
      <c r="J228" s="49" t="n"/>
      <c r="K228" s="49" t="n"/>
      <c r="L228" s="49" t="n"/>
    </row>
    <row r="229" ht="18" customHeight="1">
      <c r="A229" s="42" t="n">
        <v>227</v>
      </c>
      <c r="B229" s="43" t="n"/>
      <c r="C229" s="44" t="n"/>
      <c r="D229" s="45" t="n"/>
      <c r="E229" s="45" t="n"/>
      <c r="F229" s="46" t="n"/>
      <c r="G229" s="46" t="n"/>
      <c r="H229" s="45" t="n"/>
      <c r="I229" s="44" t="n"/>
      <c r="J229" s="45" t="n"/>
      <c r="K229" s="45" t="n"/>
      <c r="L229" s="45" t="n"/>
    </row>
    <row r="230" ht="18" customHeight="1">
      <c r="A230" s="42" t="n">
        <v>228</v>
      </c>
      <c r="B230" s="47" t="n"/>
      <c r="C230" s="48" t="n"/>
      <c r="D230" s="49" t="n"/>
      <c r="E230" s="49" t="n"/>
      <c r="F230" s="50" t="n"/>
      <c r="G230" s="50" t="n"/>
      <c r="H230" s="49" t="n"/>
      <c r="I230" s="48" t="n"/>
      <c r="J230" s="49" t="n"/>
      <c r="K230" s="49" t="n"/>
      <c r="L230" s="49" t="n"/>
    </row>
    <row r="231" ht="18" customHeight="1">
      <c r="A231" s="42" t="n">
        <v>229</v>
      </c>
      <c r="B231" s="43" t="n"/>
      <c r="C231" s="44" t="n"/>
      <c r="D231" s="45" t="n"/>
      <c r="E231" s="45" t="n"/>
      <c r="F231" s="46" t="n"/>
      <c r="G231" s="46" t="n"/>
      <c r="H231" s="45" t="n"/>
      <c r="I231" s="44" t="n"/>
      <c r="J231" s="45" t="n"/>
      <c r="K231" s="45" t="n"/>
      <c r="L231" s="45" t="n"/>
    </row>
    <row r="232" ht="18" customHeight="1">
      <c r="A232" s="42" t="n">
        <v>230</v>
      </c>
      <c r="B232" s="47" t="n"/>
      <c r="C232" s="48" t="n"/>
      <c r="D232" s="49" t="n"/>
      <c r="E232" s="49" t="n"/>
      <c r="F232" s="50" t="n"/>
      <c r="G232" s="50" t="n"/>
      <c r="H232" s="49" t="n"/>
      <c r="I232" s="48" t="n"/>
      <c r="J232" s="49" t="n"/>
      <c r="K232" s="49" t="n"/>
      <c r="L232" s="49" t="n"/>
    </row>
    <row r="233" ht="18" customHeight="1">
      <c r="A233" s="42" t="n">
        <v>231</v>
      </c>
      <c r="B233" s="43" t="n"/>
      <c r="C233" s="44" t="n"/>
      <c r="D233" s="45" t="n"/>
      <c r="E233" s="45" t="n"/>
      <c r="F233" s="46" t="n"/>
      <c r="G233" s="46" t="n"/>
      <c r="H233" s="45" t="n"/>
      <c r="I233" s="44" t="n"/>
      <c r="J233" s="45" t="n"/>
      <c r="K233" s="45" t="n"/>
      <c r="L233" s="45" t="n"/>
    </row>
    <row r="234" ht="18" customHeight="1">
      <c r="A234" s="42" t="n">
        <v>232</v>
      </c>
      <c r="B234" s="47" t="n"/>
      <c r="C234" s="48" t="n"/>
      <c r="D234" s="49" t="n"/>
      <c r="E234" s="49" t="n"/>
      <c r="F234" s="50" t="n"/>
      <c r="G234" s="50" t="n"/>
      <c r="H234" s="49" t="n"/>
      <c r="I234" s="48" t="n"/>
      <c r="J234" s="49" t="n"/>
      <c r="K234" s="49" t="n"/>
      <c r="L234" s="49" t="n"/>
    </row>
    <row r="235" ht="18" customHeight="1">
      <c r="A235" s="42" t="n">
        <v>233</v>
      </c>
      <c r="B235" s="43" t="n"/>
      <c r="C235" s="44" t="n"/>
      <c r="D235" s="45" t="n"/>
      <c r="E235" s="45" t="n"/>
      <c r="F235" s="46" t="n"/>
      <c r="G235" s="46" t="n"/>
      <c r="H235" s="45" t="n"/>
      <c r="I235" s="44" t="n"/>
      <c r="J235" s="45" t="n"/>
      <c r="K235" s="45" t="n"/>
      <c r="L235" s="45" t="n"/>
    </row>
    <row r="236" ht="18" customHeight="1">
      <c r="A236" s="42" t="n">
        <v>234</v>
      </c>
      <c r="B236" s="47" t="n"/>
      <c r="C236" s="48" t="n"/>
      <c r="D236" s="49" t="n"/>
      <c r="E236" s="49" t="n"/>
      <c r="F236" s="50" t="n"/>
      <c r="G236" s="50" t="n"/>
      <c r="H236" s="49" t="n"/>
      <c r="I236" s="48" t="n"/>
      <c r="J236" s="49" t="n"/>
      <c r="K236" s="49" t="n"/>
      <c r="L236" s="49" t="n"/>
    </row>
    <row r="237" ht="18" customHeight="1">
      <c r="A237" s="42" t="n">
        <v>235</v>
      </c>
      <c r="B237" s="43" t="n"/>
      <c r="C237" s="44" t="n"/>
      <c r="D237" s="45" t="n"/>
      <c r="E237" s="45" t="n"/>
      <c r="F237" s="46" t="n"/>
      <c r="G237" s="46" t="n"/>
      <c r="H237" s="45" t="n"/>
      <c r="I237" s="44" t="n"/>
      <c r="J237" s="45" t="n"/>
      <c r="K237" s="45" t="n"/>
      <c r="L237" s="45" t="n"/>
    </row>
    <row r="238" ht="18" customHeight="1">
      <c r="A238" s="42" t="n">
        <v>236</v>
      </c>
      <c r="B238" s="47" t="n"/>
      <c r="C238" s="48" t="n"/>
      <c r="D238" s="49" t="n"/>
      <c r="E238" s="49" t="n"/>
      <c r="F238" s="50" t="n"/>
      <c r="G238" s="50" t="n"/>
      <c r="H238" s="49" t="n"/>
      <c r="I238" s="48" t="n"/>
      <c r="J238" s="49" t="n"/>
      <c r="K238" s="49" t="n"/>
      <c r="L238" s="49" t="n"/>
    </row>
    <row r="239" ht="18" customHeight="1">
      <c r="A239" s="42" t="n">
        <v>237</v>
      </c>
      <c r="B239" s="43" t="n"/>
      <c r="C239" s="44" t="n"/>
      <c r="D239" s="45" t="n"/>
      <c r="E239" s="45" t="n"/>
      <c r="F239" s="46" t="n"/>
      <c r="G239" s="46" t="n"/>
      <c r="H239" s="45" t="n"/>
      <c r="I239" s="44" t="n"/>
      <c r="J239" s="45" t="n"/>
      <c r="K239" s="45" t="n"/>
      <c r="L239" s="45" t="n"/>
    </row>
    <row r="240" ht="18" customHeight="1">
      <c r="A240" s="42" t="n">
        <v>238</v>
      </c>
      <c r="B240" s="47" t="n"/>
      <c r="C240" s="48" t="n"/>
      <c r="D240" s="49" t="n"/>
      <c r="E240" s="49" t="n"/>
      <c r="F240" s="50" t="n"/>
      <c r="G240" s="50" t="n"/>
      <c r="H240" s="49" t="n"/>
      <c r="I240" s="48" t="n"/>
      <c r="J240" s="49" t="n"/>
      <c r="K240" s="49" t="n"/>
      <c r="L240" s="49" t="n"/>
    </row>
    <row r="241" ht="18" customHeight="1">
      <c r="A241" s="42" t="n">
        <v>239</v>
      </c>
      <c r="B241" s="43" t="n"/>
      <c r="C241" s="44" t="n"/>
      <c r="D241" s="45" t="n"/>
      <c r="E241" s="45" t="n"/>
      <c r="F241" s="46" t="n"/>
      <c r="G241" s="46" t="n"/>
      <c r="H241" s="45" t="n"/>
      <c r="I241" s="44" t="n"/>
      <c r="J241" s="45" t="n"/>
      <c r="K241" s="45" t="n"/>
      <c r="L241" s="45" t="n"/>
    </row>
    <row r="242" ht="18" customHeight="1">
      <c r="A242" s="42" t="n">
        <v>240</v>
      </c>
      <c r="B242" s="47" t="n"/>
      <c r="C242" s="48" t="n"/>
      <c r="D242" s="49" t="n"/>
      <c r="E242" s="49" t="n"/>
      <c r="F242" s="50" t="n"/>
      <c r="G242" s="50" t="n"/>
      <c r="H242" s="49" t="n"/>
      <c r="I242" s="48" t="n"/>
      <c r="J242" s="49" t="n"/>
      <c r="K242" s="49" t="n"/>
      <c r="L242" s="49" t="n"/>
    </row>
    <row r="243" ht="18" customHeight="1">
      <c r="A243" s="42" t="n">
        <v>241</v>
      </c>
      <c r="B243" s="43" t="n"/>
      <c r="C243" s="44" t="n"/>
      <c r="D243" s="45" t="n"/>
      <c r="E243" s="45" t="n"/>
      <c r="F243" s="46" t="n"/>
      <c r="G243" s="46" t="n"/>
      <c r="H243" s="45" t="n"/>
      <c r="I243" s="44" t="n"/>
      <c r="J243" s="45" t="n"/>
      <c r="K243" s="45" t="n"/>
      <c r="L243" s="45" t="n"/>
    </row>
    <row r="244" ht="18" customHeight="1">
      <c r="A244" s="42" t="n">
        <v>242</v>
      </c>
      <c r="B244" s="47" t="n"/>
      <c r="C244" s="48" t="n"/>
      <c r="D244" s="49" t="n"/>
      <c r="E244" s="49" t="n"/>
      <c r="F244" s="50" t="n"/>
      <c r="G244" s="50" t="n"/>
      <c r="H244" s="49" t="n"/>
      <c r="I244" s="48" t="n"/>
      <c r="J244" s="49" t="n"/>
      <c r="K244" s="49" t="n"/>
      <c r="L244" s="49" t="n"/>
    </row>
    <row r="245" ht="18" customHeight="1">
      <c r="A245" s="42" t="n">
        <v>243</v>
      </c>
      <c r="B245" s="43" t="n"/>
      <c r="C245" s="44" t="n"/>
      <c r="D245" s="45" t="n"/>
      <c r="E245" s="45" t="n"/>
      <c r="F245" s="46" t="n"/>
      <c r="G245" s="46" t="n"/>
      <c r="H245" s="45" t="n"/>
      <c r="I245" s="44" t="n"/>
      <c r="J245" s="45" t="n"/>
      <c r="K245" s="45" t="n"/>
      <c r="L245" s="45" t="n"/>
    </row>
    <row r="246" ht="18" customHeight="1">
      <c r="A246" s="42" t="n">
        <v>244</v>
      </c>
      <c r="B246" s="47" t="n"/>
      <c r="C246" s="48" t="n"/>
      <c r="D246" s="49" t="n"/>
      <c r="E246" s="49" t="n"/>
      <c r="F246" s="50" t="n"/>
      <c r="G246" s="50" t="n"/>
      <c r="H246" s="49" t="n"/>
      <c r="I246" s="48" t="n"/>
      <c r="J246" s="49" t="n"/>
      <c r="K246" s="49" t="n"/>
      <c r="L246" s="49" t="n"/>
    </row>
    <row r="247" ht="18" customHeight="1">
      <c r="A247" s="42" t="n">
        <v>245</v>
      </c>
      <c r="B247" s="43" t="n"/>
      <c r="C247" s="44" t="n"/>
      <c r="D247" s="45" t="n"/>
      <c r="E247" s="45" t="n"/>
      <c r="F247" s="46" t="n"/>
      <c r="G247" s="46" t="n"/>
      <c r="H247" s="45" t="n"/>
      <c r="I247" s="44" t="n"/>
      <c r="J247" s="45" t="n"/>
      <c r="K247" s="45" t="n"/>
      <c r="L247" s="45" t="n"/>
    </row>
    <row r="248" ht="18" customHeight="1">
      <c r="A248" s="42" t="n">
        <v>246</v>
      </c>
      <c r="B248" s="47" t="n"/>
      <c r="C248" s="48" t="n"/>
      <c r="D248" s="49" t="n"/>
      <c r="E248" s="49" t="n"/>
      <c r="F248" s="50" t="n"/>
      <c r="G248" s="50" t="n"/>
      <c r="H248" s="49" t="n"/>
      <c r="I248" s="48" t="n"/>
      <c r="J248" s="49" t="n"/>
      <c r="K248" s="49" t="n"/>
      <c r="L248" s="49" t="n"/>
    </row>
    <row r="249" ht="18" customHeight="1">
      <c r="A249" s="42" t="n">
        <v>247</v>
      </c>
      <c r="B249" s="43" t="n"/>
      <c r="C249" s="44" t="n"/>
      <c r="D249" s="45" t="n"/>
      <c r="E249" s="45" t="n"/>
      <c r="F249" s="46" t="n"/>
      <c r="G249" s="46" t="n"/>
      <c r="H249" s="45" t="n"/>
      <c r="I249" s="44" t="n"/>
      <c r="J249" s="45" t="n"/>
      <c r="K249" s="45" t="n"/>
      <c r="L249" s="45" t="n"/>
    </row>
    <row r="250" ht="18" customHeight="1">
      <c r="A250" s="42" t="n">
        <v>248</v>
      </c>
      <c r="B250" s="47" t="n"/>
      <c r="C250" s="48" t="n"/>
      <c r="D250" s="49" t="n"/>
      <c r="E250" s="49" t="n"/>
      <c r="F250" s="50" t="n"/>
      <c r="G250" s="50" t="n"/>
      <c r="H250" s="49" t="n"/>
      <c r="I250" s="48" t="n"/>
      <c r="J250" s="49" t="n"/>
      <c r="K250" s="49" t="n"/>
      <c r="L250" s="49" t="n"/>
    </row>
    <row r="251" ht="18" customHeight="1">
      <c r="A251" s="42" t="n">
        <v>249</v>
      </c>
      <c r="B251" s="43" t="n"/>
      <c r="C251" s="44" t="n"/>
      <c r="D251" s="45" t="n"/>
      <c r="E251" s="45" t="n"/>
      <c r="F251" s="46" t="n"/>
      <c r="G251" s="46" t="n"/>
      <c r="H251" s="45" t="n"/>
      <c r="I251" s="44" t="n"/>
      <c r="J251" s="45" t="n"/>
      <c r="K251" s="45" t="n"/>
      <c r="L251" s="45" t="n"/>
    </row>
    <row r="252" ht="18" customHeight="1">
      <c r="A252" s="42" t="n">
        <v>250</v>
      </c>
      <c r="B252" s="47" t="n"/>
      <c r="C252" s="48" t="n"/>
      <c r="D252" s="49" t="n"/>
      <c r="E252" s="49" t="n"/>
      <c r="F252" s="50" t="n"/>
      <c r="G252" s="50" t="n"/>
      <c r="H252" s="49" t="n"/>
      <c r="I252" s="48" t="n"/>
      <c r="J252" s="49" t="n"/>
      <c r="K252" s="49" t="n"/>
      <c r="L252" s="49" t="n"/>
    </row>
    <row r="253" ht="18" customHeight="1">
      <c r="A253" s="42" t="n">
        <v>251</v>
      </c>
      <c r="B253" s="43" t="n"/>
      <c r="C253" s="44" t="n"/>
      <c r="D253" s="45" t="n"/>
      <c r="E253" s="45" t="n"/>
      <c r="F253" s="46" t="n"/>
      <c r="G253" s="46" t="n"/>
      <c r="H253" s="45" t="n"/>
      <c r="I253" s="44" t="n"/>
      <c r="J253" s="45" t="n"/>
      <c r="K253" s="45" t="n"/>
      <c r="L253" s="45" t="n"/>
    </row>
    <row r="254" ht="18" customHeight="1">
      <c r="A254" s="42" t="n">
        <v>252</v>
      </c>
      <c r="B254" s="47" t="n"/>
      <c r="C254" s="48" t="n"/>
      <c r="D254" s="49" t="n"/>
      <c r="E254" s="49" t="n"/>
      <c r="F254" s="50" t="n"/>
      <c r="G254" s="50" t="n"/>
      <c r="H254" s="49" t="n"/>
      <c r="I254" s="48" t="n"/>
      <c r="J254" s="49" t="n"/>
      <c r="K254" s="49" t="n"/>
      <c r="L254" s="49" t="n"/>
    </row>
    <row r="255" ht="18" customHeight="1">
      <c r="A255" s="42" t="n">
        <v>253</v>
      </c>
      <c r="B255" s="43" t="n"/>
      <c r="C255" s="44" t="n"/>
      <c r="D255" s="45" t="n"/>
      <c r="E255" s="45" t="n"/>
      <c r="F255" s="46" t="n"/>
      <c r="G255" s="46" t="n"/>
      <c r="H255" s="45" t="n"/>
      <c r="I255" s="44" t="n"/>
      <c r="J255" s="45" t="n"/>
      <c r="K255" s="45" t="n"/>
      <c r="L255" s="45" t="n"/>
    </row>
    <row r="256" ht="18" customHeight="1">
      <c r="A256" s="42" t="n">
        <v>254</v>
      </c>
      <c r="B256" s="47" t="n"/>
      <c r="C256" s="48" t="n"/>
      <c r="D256" s="49" t="n"/>
      <c r="E256" s="49" t="n"/>
      <c r="F256" s="50" t="n"/>
      <c r="G256" s="50" t="n"/>
      <c r="H256" s="49" t="n"/>
      <c r="I256" s="48" t="n"/>
      <c r="J256" s="49" t="n"/>
      <c r="K256" s="49" t="n"/>
      <c r="L256" s="49" t="n"/>
    </row>
    <row r="257" ht="18" customHeight="1">
      <c r="A257" s="42" t="n">
        <v>255</v>
      </c>
      <c r="B257" s="43" t="n"/>
      <c r="C257" s="44" t="n"/>
      <c r="D257" s="45" t="n"/>
      <c r="E257" s="45" t="n"/>
      <c r="F257" s="46" t="n"/>
      <c r="G257" s="46" t="n"/>
      <c r="H257" s="45" t="n"/>
      <c r="I257" s="44" t="n"/>
      <c r="J257" s="45" t="n"/>
      <c r="K257" s="45" t="n"/>
      <c r="L257" s="45" t="n"/>
    </row>
    <row r="258" ht="18" customHeight="1">
      <c r="A258" s="42" t="n">
        <v>256</v>
      </c>
      <c r="B258" s="47" t="n"/>
      <c r="C258" s="48" t="n"/>
      <c r="D258" s="49" t="n"/>
      <c r="E258" s="49" t="n"/>
      <c r="F258" s="50" t="n"/>
      <c r="G258" s="50" t="n"/>
      <c r="H258" s="49" t="n"/>
      <c r="I258" s="48" t="n"/>
      <c r="J258" s="49" t="n"/>
      <c r="K258" s="49" t="n"/>
      <c r="L258" s="49" t="n"/>
    </row>
    <row r="259" ht="18" customHeight="1">
      <c r="A259" s="42" t="n">
        <v>257</v>
      </c>
      <c r="B259" s="43" t="n"/>
      <c r="C259" s="44" t="n"/>
      <c r="D259" s="45" t="n"/>
      <c r="E259" s="45" t="n"/>
      <c r="F259" s="46" t="n"/>
      <c r="G259" s="46" t="n"/>
      <c r="H259" s="45" t="n"/>
      <c r="I259" s="44" t="n"/>
      <c r="J259" s="45" t="n"/>
      <c r="K259" s="45" t="n"/>
      <c r="L259" s="45" t="n"/>
    </row>
    <row r="260" ht="18" customHeight="1">
      <c r="A260" s="42" t="n">
        <v>258</v>
      </c>
      <c r="B260" s="47" t="n"/>
      <c r="C260" s="48" t="n"/>
      <c r="D260" s="49" t="n"/>
      <c r="E260" s="49" t="n"/>
      <c r="F260" s="50" t="n"/>
      <c r="G260" s="50" t="n"/>
      <c r="H260" s="49" t="n"/>
      <c r="I260" s="48" t="n"/>
      <c r="J260" s="49" t="n"/>
      <c r="K260" s="49" t="n"/>
      <c r="L260" s="49" t="n"/>
    </row>
    <row r="261" ht="18" customHeight="1">
      <c r="A261" s="42" t="n">
        <v>259</v>
      </c>
      <c r="B261" s="43" t="n"/>
      <c r="C261" s="44" t="n"/>
      <c r="D261" s="45" t="n"/>
      <c r="E261" s="45" t="n"/>
      <c r="F261" s="46" t="n"/>
      <c r="G261" s="46" t="n"/>
      <c r="H261" s="45" t="n"/>
      <c r="I261" s="44" t="n"/>
      <c r="J261" s="45" t="n"/>
      <c r="K261" s="45" t="n"/>
      <c r="L261" s="45" t="n"/>
    </row>
    <row r="262" ht="18" customHeight="1">
      <c r="A262" s="42" t="n">
        <v>260</v>
      </c>
      <c r="B262" s="47" t="n"/>
      <c r="C262" s="48" t="n"/>
      <c r="D262" s="49" t="n"/>
      <c r="E262" s="49" t="n"/>
      <c r="F262" s="50" t="n"/>
      <c r="G262" s="50" t="n"/>
      <c r="H262" s="49" t="n"/>
      <c r="I262" s="48" t="n"/>
      <c r="J262" s="49" t="n"/>
      <c r="K262" s="49" t="n"/>
      <c r="L262" s="49" t="n"/>
    </row>
    <row r="263" ht="18" customHeight="1">
      <c r="A263" s="42" t="n">
        <v>261</v>
      </c>
      <c r="B263" s="43" t="n"/>
      <c r="C263" s="44" t="n"/>
      <c r="D263" s="45" t="n"/>
      <c r="E263" s="45" t="n"/>
      <c r="F263" s="46" t="n"/>
      <c r="G263" s="46" t="n"/>
      <c r="H263" s="45" t="n"/>
      <c r="I263" s="44" t="n"/>
      <c r="J263" s="45" t="n"/>
      <c r="K263" s="45" t="n"/>
      <c r="L263" s="45" t="n"/>
    </row>
    <row r="264" ht="18" customHeight="1">
      <c r="A264" s="42" t="n">
        <v>262</v>
      </c>
      <c r="B264" s="47" t="n"/>
      <c r="C264" s="48" t="n"/>
      <c r="D264" s="49" t="n"/>
      <c r="E264" s="49" t="n"/>
      <c r="F264" s="50" t="n"/>
      <c r="G264" s="50" t="n"/>
      <c r="H264" s="49" t="n"/>
      <c r="I264" s="48" t="n"/>
      <c r="J264" s="49" t="n"/>
      <c r="K264" s="49" t="n"/>
      <c r="L264" s="49" t="n"/>
    </row>
    <row r="265" ht="18" customHeight="1">
      <c r="A265" s="42" t="n">
        <v>263</v>
      </c>
      <c r="B265" s="43" t="n"/>
      <c r="C265" s="44" t="n"/>
      <c r="D265" s="45" t="n"/>
      <c r="E265" s="45" t="n"/>
      <c r="F265" s="46" t="n"/>
      <c r="G265" s="46" t="n"/>
      <c r="H265" s="45" t="n"/>
      <c r="I265" s="44" t="n"/>
      <c r="J265" s="45" t="n"/>
      <c r="K265" s="45" t="n"/>
      <c r="L265" s="45" t="n"/>
    </row>
    <row r="266" ht="18" customHeight="1">
      <c r="A266" s="42" t="n">
        <v>264</v>
      </c>
      <c r="B266" s="47" t="n"/>
      <c r="C266" s="48" t="n"/>
      <c r="D266" s="49" t="n"/>
      <c r="E266" s="49" t="n"/>
      <c r="F266" s="50" t="n"/>
      <c r="G266" s="50" t="n"/>
      <c r="H266" s="49" t="n"/>
      <c r="I266" s="48" t="n"/>
      <c r="J266" s="49" t="n"/>
      <c r="K266" s="49" t="n"/>
      <c r="L266" s="49" t="n"/>
    </row>
    <row r="267" ht="18" customHeight="1">
      <c r="A267" s="42" t="n">
        <v>265</v>
      </c>
      <c r="B267" s="43" t="n"/>
      <c r="C267" s="44" t="n"/>
      <c r="D267" s="45" t="n"/>
      <c r="E267" s="45" t="n"/>
      <c r="F267" s="46" t="n"/>
      <c r="G267" s="46" t="n"/>
      <c r="H267" s="45" t="n"/>
      <c r="I267" s="44" t="n"/>
      <c r="J267" s="45" t="n"/>
      <c r="K267" s="45" t="n"/>
      <c r="L267" s="45" t="n"/>
    </row>
    <row r="268" ht="18" customHeight="1">
      <c r="A268" s="42" t="n">
        <v>266</v>
      </c>
      <c r="B268" s="47" t="n"/>
      <c r="C268" s="48" t="n"/>
      <c r="D268" s="49" t="n"/>
      <c r="E268" s="49" t="n"/>
      <c r="F268" s="50" t="n"/>
      <c r="G268" s="50" t="n"/>
      <c r="H268" s="49" t="n"/>
      <c r="I268" s="48" t="n"/>
      <c r="J268" s="49" t="n"/>
      <c r="K268" s="49" t="n"/>
      <c r="L268" s="49" t="n"/>
    </row>
    <row r="269" ht="18" customHeight="1">
      <c r="A269" s="42" t="n">
        <v>267</v>
      </c>
      <c r="B269" s="43" t="n"/>
      <c r="C269" s="44" t="n"/>
      <c r="D269" s="45" t="n"/>
      <c r="E269" s="45" t="n"/>
      <c r="F269" s="46" t="n"/>
      <c r="G269" s="46" t="n"/>
      <c r="H269" s="45" t="n"/>
      <c r="I269" s="44" t="n"/>
      <c r="J269" s="45" t="n"/>
      <c r="K269" s="45" t="n"/>
      <c r="L269" s="45" t="n"/>
    </row>
    <row r="270" ht="18" customHeight="1">
      <c r="A270" s="42" t="n">
        <v>268</v>
      </c>
      <c r="B270" s="47" t="n"/>
      <c r="C270" s="48" t="n"/>
      <c r="D270" s="49" t="n"/>
      <c r="E270" s="49" t="n"/>
      <c r="F270" s="50" t="n"/>
      <c r="G270" s="50" t="n"/>
      <c r="H270" s="49" t="n"/>
      <c r="I270" s="48" t="n"/>
      <c r="J270" s="49" t="n"/>
      <c r="K270" s="49" t="n"/>
      <c r="L270" s="49" t="n"/>
    </row>
    <row r="271" ht="18" customHeight="1">
      <c r="A271" s="42" t="n">
        <v>269</v>
      </c>
      <c r="B271" s="43" t="n"/>
      <c r="C271" s="44" t="n"/>
      <c r="D271" s="45" t="n"/>
      <c r="E271" s="45" t="n"/>
      <c r="F271" s="46" t="n"/>
      <c r="G271" s="46" t="n"/>
      <c r="H271" s="45" t="n"/>
      <c r="I271" s="44" t="n"/>
      <c r="J271" s="45" t="n"/>
      <c r="K271" s="45" t="n"/>
      <c r="L271" s="45" t="n"/>
    </row>
    <row r="272" ht="18" customHeight="1">
      <c r="A272" s="42" t="n">
        <v>270</v>
      </c>
      <c r="B272" s="47" t="n"/>
      <c r="C272" s="48" t="n"/>
      <c r="D272" s="49" t="n"/>
      <c r="E272" s="49" t="n"/>
      <c r="F272" s="50" t="n"/>
      <c r="G272" s="50" t="n"/>
      <c r="H272" s="49" t="n"/>
      <c r="I272" s="48" t="n"/>
      <c r="J272" s="49" t="n"/>
      <c r="K272" s="49" t="n"/>
      <c r="L272" s="49" t="n"/>
    </row>
    <row r="273" ht="18" customHeight="1">
      <c r="A273" s="42" t="n">
        <v>271</v>
      </c>
      <c r="B273" s="43" t="n"/>
      <c r="C273" s="44" t="n"/>
      <c r="D273" s="45" t="n"/>
      <c r="E273" s="45" t="n"/>
      <c r="F273" s="46" t="n"/>
      <c r="G273" s="46" t="n"/>
      <c r="H273" s="45" t="n"/>
      <c r="I273" s="44" t="n"/>
      <c r="J273" s="45" t="n"/>
      <c r="K273" s="45" t="n"/>
      <c r="L273" s="45" t="n"/>
    </row>
    <row r="274" ht="18" customHeight="1">
      <c r="A274" s="42" t="n">
        <v>272</v>
      </c>
      <c r="B274" s="47" t="n"/>
      <c r="C274" s="48" t="n"/>
      <c r="D274" s="49" t="n"/>
      <c r="E274" s="49" t="n"/>
      <c r="F274" s="50" t="n"/>
      <c r="G274" s="50" t="n"/>
      <c r="H274" s="49" t="n"/>
      <c r="I274" s="48" t="n"/>
      <c r="J274" s="49" t="n"/>
      <c r="K274" s="49" t="n"/>
      <c r="L274" s="49" t="n"/>
    </row>
    <row r="275" ht="18" customHeight="1">
      <c r="A275" s="42" t="n">
        <v>273</v>
      </c>
      <c r="B275" s="43" t="n"/>
      <c r="C275" s="44" t="n"/>
      <c r="D275" s="45" t="n"/>
      <c r="E275" s="45" t="n"/>
      <c r="F275" s="46" t="n"/>
      <c r="G275" s="46" t="n"/>
      <c r="H275" s="45" t="n"/>
      <c r="I275" s="44" t="n"/>
      <c r="J275" s="45" t="n"/>
      <c r="K275" s="45" t="n"/>
      <c r="L275" s="45" t="n"/>
    </row>
    <row r="276" ht="18" customHeight="1">
      <c r="A276" s="42" t="n">
        <v>274</v>
      </c>
      <c r="B276" s="47" t="n"/>
      <c r="C276" s="48" t="n"/>
      <c r="D276" s="49" t="n"/>
      <c r="E276" s="49" t="n"/>
      <c r="F276" s="50" t="n"/>
      <c r="G276" s="50" t="n"/>
      <c r="H276" s="49" t="n"/>
      <c r="I276" s="48" t="n"/>
      <c r="J276" s="49" t="n"/>
      <c r="K276" s="49" t="n"/>
      <c r="L276" s="49" t="n"/>
    </row>
    <row r="277" ht="18" customHeight="1">
      <c r="A277" s="42" t="n">
        <v>275</v>
      </c>
      <c r="B277" s="43" t="n"/>
      <c r="C277" s="44" t="n"/>
      <c r="D277" s="45" t="n"/>
      <c r="E277" s="45" t="n"/>
      <c r="F277" s="46" t="n"/>
      <c r="G277" s="46" t="n"/>
      <c r="H277" s="45" t="n"/>
      <c r="I277" s="44" t="n"/>
      <c r="J277" s="45" t="n"/>
      <c r="K277" s="45" t="n"/>
      <c r="L277" s="45" t="n"/>
    </row>
    <row r="278" ht="18" customHeight="1">
      <c r="A278" s="42" t="n">
        <v>276</v>
      </c>
      <c r="B278" s="47" t="n"/>
      <c r="C278" s="48" t="n"/>
      <c r="D278" s="49" t="n"/>
      <c r="E278" s="49" t="n"/>
      <c r="F278" s="50" t="n"/>
      <c r="G278" s="50" t="n"/>
      <c r="H278" s="49" t="n"/>
      <c r="I278" s="48" t="n"/>
      <c r="J278" s="49" t="n"/>
      <c r="K278" s="49" t="n"/>
      <c r="L278" s="49" t="n"/>
    </row>
    <row r="279" ht="18" customHeight="1">
      <c r="A279" s="42" t="n">
        <v>277</v>
      </c>
      <c r="B279" s="43" t="n"/>
      <c r="C279" s="44" t="n"/>
      <c r="D279" s="45" t="n"/>
      <c r="E279" s="45" t="n"/>
      <c r="F279" s="46" t="n"/>
      <c r="G279" s="46" t="n"/>
      <c r="H279" s="45" t="n"/>
      <c r="I279" s="44" t="n"/>
      <c r="J279" s="45" t="n"/>
      <c r="K279" s="45" t="n"/>
      <c r="L279" s="45" t="n"/>
    </row>
    <row r="280" ht="18" customHeight="1">
      <c r="A280" s="42" t="n">
        <v>278</v>
      </c>
      <c r="B280" s="47" t="n"/>
      <c r="C280" s="48" t="n"/>
      <c r="D280" s="49" t="n"/>
      <c r="E280" s="49" t="n"/>
      <c r="F280" s="50" t="n"/>
      <c r="G280" s="50" t="n"/>
      <c r="H280" s="49" t="n"/>
      <c r="I280" s="48" t="n"/>
      <c r="J280" s="49" t="n"/>
      <c r="K280" s="49" t="n"/>
      <c r="L280" s="49" t="n"/>
    </row>
    <row r="281" ht="18" customHeight="1">
      <c r="A281" s="42" t="n">
        <v>279</v>
      </c>
      <c r="B281" s="43" t="n"/>
      <c r="C281" s="44" t="n"/>
      <c r="D281" s="45" t="n"/>
      <c r="E281" s="45" t="n"/>
      <c r="F281" s="46" t="n"/>
      <c r="G281" s="46" t="n"/>
      <c r="H281" s="45" t="n"/>
      <c r="I281" s="44" t="n"/>
      <c r="J281" s="45" t="n"/>
      <c r="K281" s="45" t="n"/>
      <c r="L281" s="45" t="n"/>
    </row>
    <row r="282" ht="18" customHeight="1">
      <c r="A282" s="42" t="n">
        <v>280</v>
      </c>
      <c r="B282" s="47" t="n"/>
      <c r="C282" s="48" t="n"/>
      <c r="D282" s="49" t="n"/>
      <c r="E282" s="49" t="n"/>
      <c r="F282" s="50" t="n"/>
      <c r="G282" s="50" t="n"/>
      <c r="H282" s="49" t="n"/>
      <c r="I282" s="48" t="n"/>
      <c r="J282" s="49" t="n"/>
      <c r="K282" s="49" t="n"/>
      <c r="L282" s="49" t="n"/>
    </row>
    <row r="283" ht="18" customHeight="1">
      <c r="A283" s="42" t="n">
        <v>281</v>
      </c>
      <c r="B283" s="43" t="n"/>
      <c r="C283" s="44" t="n"/>
      <c r="D283" s="45" t="n"/>
      <c r="E283" s="45" t="n"/>
      <c r="F283" s="46" t="n"/>
      <c r="G283" s="46" t="n"/>
      <c r="H283" s="45" t="n"/>
      <c r="I283" s="44" t="n"/>
      <c r="J283" s="45" t="n"/>
      <c r="K283" s="45" t="n"/>
      <c r="L283" s="45" t="n"/>
    </row>
    <row r="284" ht="18" customHeight="1">
      <c r="A284" s="42" t="n">
        <v>282</v>
      </c>
      <c r="B284" s="47" t="n"/>
      <c r="C284" s="48" t="n"/>
      <c r="D284" s="49" t="n"/>
      <c r="E284" s="49" t="n"/>
      <c r="F284" s="50" t="n"/>
      <c r="G284" s="50" t="n"/>
      <c r="H284" s="49" t="n"/>
      <c r="I284" s="48" t="n"/>
      <c r="J284" s="49" t="n"/>
      <c r="K284" s="49" t="n"/>
      <c r="L284" s="49" t="n"/>
    </row>
    <row r="285" ht="18" customHeight="1">
      <c r="A285" s="42" t="n">
        <v>283</v>
      </c>
      <c r="B285" s="43" t="n"/>
      <c r="C285" s="44" t="n"/>
      <c r="D285" s="45" t="n"/>
      <c r="E285" s="45" t="n"/>
      <c r="F285" s="46" t="n"/>
      <c r="G285" s="46" t="n"/>
      <c r="H285" s="45" t="n"/>
      <c r="I285" s="44" t="n"/>
      <c r="J285" s="45" t="n"/>
      <c r="K285" s="45" t="n"/>
      <c r="L285" s="45" t="n"/>
    </row>
    <row r="286" ht="18" customHeight="1">
      <c r="A286" s="42" t="n">
        <v>284</v>
      </c>
      <c r="B286" s="47" t="n"/>
      <c r="C286" s="48" t="n"/>
      <c r="D286" s="49" t="n"/>
      <c r="E286" s="49" t="n"/>
      <c r="F286" s="50" t="n"/>
      <c r="G286" s="50" t="n"/>
      <c r="H286" s="49" t="n"/>
      <c r="I286" s="48" t="n"/>
      <c r="J286" s="49" t="n"/>
      <c r="K286" s="49" t="n"/>
      <c r="L286" s="49" t="n"/>
    </row>
    <row r="287" ht="18" customHeight="1">
      <c r="A287" s="42" t="n">
        <v>285</v>
      </c>
      <c r="B287" s="43" t="n"/>
      <c r="C287" s="44" t="n"/>
      <c r="D287" s="45" t="n"/>
      <c r="E287" s="45" t="n"/>
      <c r="F287" s="46" t="n"/>
      <c r="G287" s="46" t="n"/>
      <c r="H287" s="45" t="n"/>
      <c r="I287" s="44" t="n"/>
      <c r="J287" s="45" t="n"/>
      <c r="K287" s="45" t="n"/>
      <c r="L287" s="45" t="n"/>
    </row>
    <row r="288" ht="18" customHeight="1">
      <c r="A288" s="42" t="n">
        <v>286</v>
      </c>
      <c r="B288" s="47" t="n"/>
      <c r="C288" s="48" t="n"/>
      <c r="D288" s="49" t="n"/>
      <c r="E288" s="49" t="n"/>
      <c r="F288" s="50" t="n"/>
      <c r="G288" s="50" t="n"/>
      <c r="H288" s="49" t="n"/>
      <c r="I288" s="48" t="n"/>
      <c r="J288" s="49" t="n"/>
      <c r="K288" s="49" t="n"/>
      <c r="L288" s="49" t="n"/>
    </row>
    <row r="289" ht="18" customHeight="1">
      <c r="A289" s="42" t="n">
        <v>287</v>
      </c>
      <c r="B289" s="43" t="n"/>
      <c r="C289" s="44" t="n"/>
      <c r="D289" s="45" t="n"/>
      <c r="E289" s="45" t="n"/>
      <c r="F289" s="46" t="n"/>
      <c r="G289" s="46" t="n"/>
      <c r="H289" s="45" t="n"/>
      <c r="I289" s="44" t="n"/>
      <c r="J289" s="45" t="n"/>
      <c r="K289" s="45" t="n"/>
      <c r="L289" s="45" t="n"/>
    </row>
    <row r="290" ht="18" customHeight="1">
      <c r="A290" s="42" t="n">
        <v>288</v>
      </c>
      <c r="B290" s="47" t="n"/>
      <c r="C290" s="48" t="n"/>
      <c r="D290" s="49" t="n"/>
      <c r="E290" s="49" t="n"/>
      <c r="F290" s="50" t="n"/>
      <c r="G290" s="50" t="n"/>
      <c r="H290" s="49" t="n"/>
      <c r="I290" s="48" t="n"/>
      <c r="J290" s="49" t="n"/>
      <c r="K290" s="49" t="n"/>
      <c r="L290" s="49" t="n"/>
    </row>
    <row r="291" ht="18" customHeight="1">
      <c r="A291" s="42" t="n">
        <v>289</v>
      </c>
      <c r="B291" s="43" t="n"/>
      <c r="C291" s="44" t="n"/>
      <c r="D291" s="45" t="n"/>
      <c r="E291" s="45" t="n"/>
      <c r="F291" s="46" t="n"/>
      <c r="G291" s="46" t="n"/>
      <c r="H291" s="45" t="n"/>
      <c r="I291" s="44" t="n"/>
      <c r="J291" s="45" t="n"/>
      <c r="K291" s="45" t="n"/>
      <c r="L291" s="45" t="n"/>
    </row>
    <row r="292" ht="18" customHeight="1">
      <c r="A292" s="42" t="n">
        <v>290</v>
      </c>
      <c r="B292" s="47" t="n"/>
      <c r="C292" s="48" t="n"/>
      <c r="D292" s="49" t="n"/>
      <c r="E292" s="49" t="n"/>
      <c r="F292" s="50" t="n"/>
      <c r="G292" s="50" t="n"/>
      <c r="H292" s="49" t="n"/>
      <c r="I292" s="48" t="n"/>
      <c r="J292" s="49" t="n"/>
      <c r="K292" s="49" t="n"/>
      <c r="L292" s="49" t="n"/>
    </row>
    <row r="293" ht="18" customHeight="1">
      <c r="A293" s="42" t="n">
        <v>291</v>
      </c>
      <c r="B293" s="43" t="n"/>
      <c r="C293" s="44" t="n"/>
      <c r="D293" s="45" t="n"/>
      <c r="E293" s="45" t="n"/>
      <c r="F293" s="46" t="n"/>
      <c r="G293" s="46" t="n"/>
      <c r="H293" s="45" t="n"/>
      <c r="I293" s="44" t="n"/>
      <c r="J293" s="45" t="n"/>
      <c r="K293" s="45" t="n"/>
      <c r="L293" s="45" t="n"/>
    </row>
    <row r="294" ht="18" customHeight="1">
      <c r="A294" s="42" t="n">
        <v>292</v>
      </c>
      <c r="B294" s="47" t="n"/>
      <c r="C294" s="48" t="n"/>
      <c r="D294" s="49" t="n"/>
      <c r="E294" s="49" t="n"/>
      <c r="F294" s="50" t="n"/>
      <c r="G294" s="50" t="n"/>
      <c r="H294" s="49" t="n"/>
      <c r="I294" s="48" t="n"/>
      <c r="J294" s="49" t="n"/>
      <c r="K294" s="49" t="n"/>
      <c r="L294" s="49" t="n"/>
    </row>
    <row r="295" ht="18" customHeight="1">
      <c r="A295" s="42" t="n">
        <v>293</v>
      </c>
      <c r="B295" s="43" t="n"/>
      <c r="C295" s="44" t="n"/>
      <c r="D295" s="45" t="n"/>
      <c r="E295" s="45" t="n"/>
      <c r="F295" s="46" t="n"/>
      <c r="G295" s="46" t="n"/>
      <c r="H295" s="45" t="n"/>
      <c r="I295" s="44" t="n"/>
      <c r="J295" s="45" t="n"/>
      <c r="K295" s="45" t="n"/>
      <c r="L295" s="45" t="n"/>
    </row>
    <row r="296" ht="18" customHeight="1">
      <c r="A296" s="42" t="n">
        <v>294</v>
      </c>
      <c r="B296" s="47" t="n"/>
      <c r="C296" s="48" t="n"/>
      <c r="D296" s="49" t="n"/>
      <c r="E296" s="49" t="n"/>
      <c r="F296" s="50" t="n"/>
      <c r="G296" s="50" t="n"/>
      <c r="H296" s="49" t="n"/>
      <c r="I296" s="48" t="n"/>
      <c r="J296" s="49" t="n"/>
      <c r="K296" s="49" t="n"/>
      <c r="L296" s="49" t="n"/>
    </row>
    <row r="297" ht="18" customHeight="1">
      <c r="A297" s="42" t="n">
        <v>295</v>
      </c>
      <c r="B297" s="43" t="n"/>
      <c r="C297" s="44" t="n"/>
      <c r="D297" s="45" t="n"/>
      <c r="E297" s="45" t="n"/>
      <c r="F297" s="46" t="n"/>
      <c r="G297" s="46" t="n"/>
      <c r="H297" s="45" t="n"/>
      <c r="I297" s="44" t="n"/>
      <c r="J297" s="45" t="n"/>
      <c r="K297" s="45" t="n"/>
      <c r="L297" s="45" t="n"/>
    </row>
    <row r="298" ht="18" customHeight="1">
      <c r="A298" s="42" t="n">
        <v>296</v>
      </c>
      <c r="B298" s="47" t="n"/>
      <c r="C298" s="48" t="n"/>
      <c r="D298" s="49" t="n"/>
      <c r="E298" s="49" t="n"/>
      <c r="F298" s="50" t="n"/>
      <c r="G298" s="50" t="n"/>
      <c r="H298" s="49" t="n"/>
      <c r="I298" s="48" t="n"/>
      <c r="J298" s="49" t="n"/>
      <c r="K298" s="49" t="n"/>
      <c r="L298" s="49" t="n"/>
    </row>
    <row r="299" ht="18" customHeight="1">
      <c r="A299" s="42" t="n">
        <v>297</v>
      </c>
      <c r="B299" s="43" t="n"/>
      <c r="C299" s="44" t="n"/>
      <c r="D299" s="45" t="n"/>
      <c r="E299" s="45" t="n"/>
      <c r="F299" s="46" t="n"/>
      <c r="G299" s="46" t="n"/>
      <c r="H299" s="45" t="n"/>
      <c r="I299" s="44" t="n"/>
      <c r="J299" s="45" t="n"/>
      <c r="K299" s="45" t="n"/>
      <c r="L299" s="45" t="n"/>
    </row>
    <row r="300" ht="18" customHeight="1">
      <c r="A300" s="42" t="n">
        <v>298</v>
      </c>
      <c r="B300" s="47" t="n"/>
      <c r="C300" s="48" t="n"/>
      <c r="D300" s="49" t="n"/>
      <c r="E300" s="49" t="n"/>
      <c r="F300" s="50" t="n"/>
      <c r="G300" s="50" t="n"/>
      <c r="H300" s="49" t="n"/>
      <c r="I300" s="48" t="n"/>
      <c r="J300" s="49" t="n"/>
      <c r="K300" s="49" t="n"/>
      <c r="L300" s="49" t="n"/>
    </row>
    <row r="301" ht="18" customHeight="1">
      <c r="A301" s="42" t="n">
        <v>299</v>
      </c>
      <c r="B301" s="43" t="n"/>
      <c r="C301" s="44" t="n"/>
      <c r="D301" s="45" t="n"/>
      <c r="E301" s="45" t="n"/>
      <c r="F301" s="46" t="n"/>
      <c r="G301" s="46" t="n"/>
      <c r="H301" s="45" t="n"/>
      <c r="I301" s="44" t="n"/>
      <c r="J301" s="45" t="n"/>
      <c r="K301" s="45" t="n"/>
      <c r="L301" s="45" t="n"/>
    </row>
    <row r="302" ht="18" customHeight="1">
      <c r="A302" s="42" t="n">
        <v>300</v>
      </c>
      <c r="B302" s="47" t="n"/>
      <c r="C302" s="48" t="n"/>
      <c r="D302" s="49" t="n"/>
      <c r="E302" s="49" t="n"/>
      <c r="F302" s="50" t="n"/>
      <c r="G302" s="50" t="n"/>
      <c r="H302" s="49" t="n"/>
      <c r="I302" s="48" t="n"/>
      <c r="J302" s="49" t="n"/>
      <c r="K302" s="49" t="n"/>
      <c r="L302" s="49" t="n"/>
    </row>
    <row r="303" ht="22" customHeight="1">
      <c r="A303" s="51" t="n"/>
      <c r="B303" s="51" t="n"/>
      <c r="C303" s="51" t="n"/>
      <c r="D303" s="51" t="n"/>
      <c r="E303" s="51" t="n"/>
      <c r="F303" s="52">
        <f>SUM(F3:F302)</f>
        <v/>
      </c>
      <c r="G303" s="53">
        <f>SUM(G3:G302)</f>
        <v/>
      </c>
      <c r="H303" s="54" t="inlineStr">
        <is>
          <t>BALANCE →</t>
        </is>
      </c>
      <c r="I303" s="55">
        <f>F303-G303</f>
        <v/>
      </c>
    </row>
  </sheetData>
  <mergeCells count="3">
    <mergeCell ref="J303:L303"/>
    <mergeCell ref="A1:L1"/>
    <mergeCell ref="A303:E303"/>
  </mergeCells>
  <conditionalFormatting sqref="F3:F302">
    <cfRule type="expression" priority="1" dxfId="0">
      <formula>F3&gt;0</formula>
    </cfRule>
  </conditionalFormatting>
  <conditionalFormatting sqref="G3:G302">
    <cfRule type="expression" priority="2" dxfId="1">
      <formula>G3&gt;0</formula>
    </cfRule>
  </conditionalFormatting>
  <dataValidations count="3">
    <dataValidation sqref="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showDropDown="0" showInputMessage="0" showErrorMessage="0" allowBlank="0" type="list">
      <formula1>"Ingreso,Gasto"</formula1>
    </dataValidation>
    <dataValidation sqref="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showDropDown="0" showInputMessage="0" showErrorMessage="0" allowBlank="1" type="list">
      <formula1>'⚙ Listas'!$C$2:$C$10</formula1>
    </dataValidation>
    <dataValidation sqref="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showDropDown="0" showInputMessage="0" showErrorMessage="0" allowBlank="1" type="list">
      <formula1>"Pagado,Pendiente,Anulado"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03"/>
  <sheetViews>
    <sheetView showGridLines="0" workbookViewId="0">
      <pane ySplit="2" topLeftCell="A3" activePane="bottomLeft" state="frozen"/>
      <selection pane="bottomLeft" activeCell="A1" sqref="A1"/>
    </sheetView>
  </sheetViews>
  <sheetFormatPr baseColWidth="8" defaultRowHeight="15"/>
  <cols>
    <col width="5" customWidth="1" min="1" max="1"/>
    <col width="12" customWidth="1" min="2" max="2"/>
    <col width="30" customWidth="1" min="3" max="3"/>
    <col width="18" customWidth="1" min="4" max="4"/>
    <col width="10" customWidth="1" min="5" max="5"/>
    <col width="12" customWidth="1" min="6" max="6"/>
    <col width="12" customWidth="1" min="7" max="7"/>
    <col width="14" customWidth="1" min="8" max="8"/>
    <col width="14" customWidth="1" min="9" max="9"/>
    <col width="16" customWidth="1" min="10" max="10"/>
    <col width="14" customWidth="1" min="11" max="11"/>
    <col width="20" customWidth="1" min="12" max="12"/>
    <col width="20" customWidth="1" min="13" max="13"/>
  </cols>
  <sheetData>
    <row r="1" ht="32" customHeight="1">
      <c r="A1" s="41" t="inlineStr">
        <is>
          <t>📦  CONTROL DE INVENTARIO</t>
        </is>
      </c>
    </row>
    <row r="2" ht="22" customHeight="1">
      <c r="A2" s="56" t="inlineStr">
        <is>
          <t>#</t>
        </is>
      </c>
      <c r="B2" s="56" t="inlineStr">
        <is>
          <t>Código</t>
        </is>
      </c>
      <c r="C2" s="56" t="inlineStr">
        <is>
          <t>Producto / Descripción</t>
        </is>
      </c>
      <c r="D2" s="56" t="inlineStr">
        <is>
          <t>Categoría</t>
        </is>
      </c>
      <c r="E2" s="56" t="inlineStr">
        <is>
          <t>Unidad</t>
        </is>
      </c>
      <c r="F2" s="56" t="inlineStr">
        <is>
          <t>Stock Mínimo</t>
        </is>
      </c>
      <c r="G2" s="56" t="inlineStr">
        <is>
          <t>Stock Actual</t>
        </is>
      </c>
      <c r="H2" s="56" t="inlineStr">
        <is>
          <t>Precio Compra</t>
        </is>
      </c>
      <c r="I2" s="56" t="inlineStr">
        <is>
          <t>Precio Venta</t>
        </is>
      </c>
      <c r="J2" s="56" t="inlineStr">
        <is>
          <t>Valor Inventario</t>
        </is>
      </c>
      <c r="K2" s="56" t="inlineStr">
        <is>
          <t>Estado Stock</t>
        </is>
      </c>
      <c r="L2" s="56" t="inlineStr">
        <is>
          <t>Proveedor</t>
        </is>
      </c>
      <c r="M2" s="56" t="inlineStr">
        <is>
          <t>Notas</t>
        </is>
      </c>
    </row>
    <row r="3" ht="18" customHeight="1">
      <c r="A3" s="42" t="n">
        <v>1</v>
      </c>
      <c r="B3" s="45" t="n"/>
      <c r="C3" s="45" t="n"/>
      <c r="D3" s="45" t="n"/>
      <c r="E3" s="44" t="n"/>
      <c r="F3" s="57" t="n"/>
      <c r="G3" s="57" t="n"/>
      <c r="H3" s="46" t="n"/>
      <c r="I3" s="46" t="n"/>
      <c r="J3" s="30">
        <f>IF(G3&gt;0,G3*H3,"")</f>
        <v/>
      </c>
      <c r="K3" s="44">
        <f>IF(G3="","",IF(G3=0,"🔴 SIN STOCK",IF(G3&lt;=F3,"🟡 BAJO","🟢 OK")))</f>
        <v/>
      </c>
      <c r="L3" s="45" t="n"/>
      <c r="M3" s="45" t="n"/>
    </row>
    <row r="4" ht="18" customHeight="1">
      <c r="A4" s="42" t="n">
        <v>2</v>
      </c>
      <c r="B4" s="49" t="n"/>
      <c r="C4" s="49" t="n"/>
      <c r="D4" s="49" t="n"/>
      <c r="E4" s="48" t="n"/>
      <c r="F4" s="58" t="n"/>
      <c r="G4" s="58" t="n"/>
      <c r="H4" s="50" t="n"/>
      <c r="I4" s="50" t="n"/>
      <c r="J4" s="33">
        <f>IF(G4&gt;0,G4*H4,"")</f>
        <v/>
      </c>
      <c r="K4" s="48">
        <f>IF(G4="","",IF(G4=0,"🔴 SIN STOCK",IF(G4&lt;=F4,"🟡 BAJO","🟢 OK")))</f>
        <v/>
      </c>
      <c r="L4" s="49" t="n"/>
      <c r="M4" s="49" t="n"/>
    </row>
    <row r="5" ht="18" customHeight="1">
      <c r="A5" s="42" t="n">
        <v>3</v>
      </c>
      <c r="B5" s="45" t="n"/>
      <c r="C5" s="45" t="n"/>
      <c r="D5" s="45" t="n"/>
      <c r="E5" s="44" t="n"/>
      <c r="F5" s="57" t="n"/>
      <c r="G5" s="57" t="n"/>
      <c r="H5" s="46" t="n"/>
      <c r="I5" s="46" t="n"/>
      <c r="J5" s="30">
        <f>IF(G5&gt;0,G5*H5,"")</f>
        <v/>
      </c>
      <c r="K5" s="44">
        <f>IF(G5="","",IF(G5=0,"🔴 SIN STOCK",IF(G5&lt;=F5,"🟡 BAJO","🟢 OK")))</f>
        <v/>
      </c>
      <c r="L5" s="45" t="n"/>
      <c r="M5" s="45" t="n"/>
    </row>
    <row r="6" ht="18" customHeight="1">
      <c r="A6" s="42" t="n">
        <v>4</v>
      </c>
      <c r="B6" s="49" t="n"/>
      <c r="C6" s="49" t="n"/>
      <c r="D6" s="49" t="n"/>
      <c r="E6" s="48" t="n"/>
      <c r="F6" s="58" t="n"/>
      <c r="G6" s="58" t="n"/>
      <c r="H6" s="50" t="n"/>
      <c r="I6" s="50" t="n"/>
      <c r="J6" s="33">
        <f>IF(G6&gt;0,G6*H6,"")</f>
        <v/>
      </c>
      <c r="K6" s="48">
        <f>IF(G6="","",IF(G6=0,"🔴 SIN STOCK",IF(G6&lt;=F6,"🟡 BAJO","🟢 OK")))</f>
        <v/>
      </c>
      <c r="L6" s="49" t="n"/>
      <c r="M6" s="49" t="n"/>
    </row>
    <row r="7" ht="18" customHeight="1">
      <c r="A7" s="42" t="n">
        <v>5</v>
      </c>
      <c r="B7" s="45" t="n"/>
      <c r="C7" s="45" t="n"/>
      <c r="D7" s="45" t="n"/>
      <c r="E7" s="44" t="n"/>
      <c r="F7" s="57" t="n"/>
      <c r="G7" s="57" t="n"/>
      <c r="H7" s="46" t="n"/>
      <c r="I7" s="46" t="n"/>
      <c r="J7" s="30">
        <f>IF(G7&gt;0,G7*H7,"")</f>
        <v/>
      </c>
      <c r="K7" s="44">
        <f>IF(G7="","",IF(G7=0,"🔴 SIN STOCK",IF(G7&lt;=F7,"🟡 BAJO","🟢 OK")))</f>
        <v/>
      </c>
      <c r="L7" s="45" t="n"/>
      <c r="M7" s="45" t="n"/>
    </row>
    <row r="8" ht="18" customHeight="1">
      <c r="A8" s="42" t="n">
        <v>6</v>
      </c>
      <c r="B8" s="49" t="n"/>
      <c r="C8" s="49" t="n"/>
      <c r="D8" s="49" t="n"/>
      <c r="E8" s="48" t="n"/>
      <c r="F8" s="58" t="n"/>
      <c r="G8" s="58" t="n"/>
      <c r="H8" s="50" t="n"/>
      <c r="I8" s="50" t="n"/>
      <c r="J8" s="33">
        <f>IF(G8&gt;0,G8*H8,"")</f>
        <v/>
      </c>
      <c r="K8" s="48">
        <f>IF(G8="","",IF(G8=0,"🔴 SIN STOCK",IF(G8&lt;=F8,"🟡 BAJO","🟢 OK")))</f>
        <v/>
      </c>
      <c r="L8" s="49" t="n"/>
      <c r="M8" s="49" t="n"/>
    </row>
    <row r="9" ht="18" customHeight="1">
      <c r="A9" s="42" t="n">
        <v>7</v>
      </c>
      <c r="B9" s="45" t="n"/>
      <c r="C9" s="45" t="n"/>
      <c r="D9" s="45" t="n"/>
      <c r="E9" s="44" t="n"/>
      <c r="F9" s="57" t="n"/>
      <c r="G9" s="57" t="n"/>
      <c r="H9" s="46" t="n"/>
      <c r="I9" s="46" t="n"/>
      <c r="J9" s="30">
        <f>IF(G9&gt;0,G9*H9,"")</f>
        <v/>
      </c>
      <c r="K9" s="44">
        <f>IF(G9="","",IF(G9=0,"🔴 SIN STOCK",IF(G9&lt;=F9,"🟡 BAJO","🟢 OK")))</f>
        <v/>
      </c>
      <c r="L9" s="45" t="n"/>
      <c r="M9" s="45" t="n"/>
    </row>
    <row r="10" ht="18" customHeight="1">
      <c r="A10" s="42" t="n">
        <v>8</v>
      </c>
      <c r="B10" s="49" t="n"/>
      <c r="C10" s="49" t="n"/>
      <c r="D10" s="49" t="n"/>
      <c r="E10" s="48" t="n"/>
      <c r="F10" s="58" t="n"/>
      <c r="G10" s="58" t="n"/>
      <c r="H10" s="50" t="n"/>
      <c r="I10" s="50" t="n"/>
      <c r="J10" s="33">
        <f>IF(G10&gt;0,G10*H10,"")</f>
        <v/>
      </c>
      <c r="K10" s="48">
        <f>IF(G10="","",IF(G10=0,"🔴 SIN STOCK",IF(G10&lt;=F10,"🟡 BAJO","🟢 OK")))</f>
        <v/>
      </c>
      <c r="L10" s="49" t="n"/>
      <c r="M10" s="49" t="n"/>
    </row>
    <row r="11" ht="18" customHeight="1">
      <c r="A11" s="42" t="n">
        <v>9</v>
      </c>
      <c r="B11" s="45" t="n"/>
      <c r="C11" s="45" t="n"/>
      <c r="D11" s="45" t="n"/>
      <c r="E11" s="44" t="n"/>
      <c r="F11" s="57" t="n"/>
      <c r="G11" s="57" t="n"/>
      <c r="H11" s="46" t="n"/>
      <c r="I11" s="46" t="n"/>
      <c r="J11" s="30">
        <f>IF(G11&gt;0,G11*H11,"")</f>
        <v/>
      </c>
      <c r="K11" s="44">
        <f>IF(G11="","",IF(G11=0,"🔴 SIN STOCK",IF(G11&lt;=F11,"🟡 BAJO","🟢 OK")))</f>
        <v/>
      </c>
      <c r="L11" s="45" t="n"/>
      <c r="M11" s="45" t="n"/>
    </row>
    <row r="12" ht="18" customHeight="1">
      <c r="A12" s="42" t="n">
        <v>10</v>
      </c>
      <c r="B12" s="49" t="n"/>
      <c r="C12" s="49" t="n"/>
      <c r="D12" s="49" t="n"/>
      <c r="E12" s="48" t="n"/>
      <c r="F12" s="58" t="n"/>
      <c r="G12" s="58" t="n"/>
      <c r="H12" s="50" t="n"/>
      <c r="I12" s="50" t="n"/>
      <c r="J12" s="33">
        <f>IF(G12&gt;0,G12*H12,"")</f>
        <v/>
      </c>
      <c r="K12" s="48">
        <f>IF(G12="","",IF(G12=0,"🔴 SIN STOCK",IF(G12&lt;=F12,"🟡 BAJO","🟢 OK")))</f>
        <v/>
      </c>
      <c r="L12" s="49" t="n"/>
      <c r="M12" s="49" t="n"/>
    </row>
    <row r="13" ht="18" customHeight="1">
      <c r="A13" s="42" t="n">
        <v>11</v>
      </c>
      <c r="B13" s="45" t="n"/>
      <c r="C13" s="45" t="n"/>
      <c r="D13" s="45" t="n"/>
      <c r="E13" s="44" t="n"/>
      <c r="F13" s="57" t="n"/>
      <c r="G13" s="57" t="n"/>
      <c r="H13" s="46" t="n"/>
      <c r="I13" s="46" t="n"/>
      <c r="J13" s="30">
        <f>IF(G13&gt;0,G13*H13,"")</f>
        <v/>
      </c>
      <c r="K13" s="44">
        <f>IF(G13="","",IF(G13=0,"🔴 SIN STOCK",IF(G13&lt;=F13,"🟡 BAJO","🟢 OK")))</f>
        <v/>
      </c>
      <c r="L13" s="45" t="n"/>
      <c r="M13" s="45" t="n"/>
    </row>
    <row r="14" ht="18" customHeight="1">
      <c r="A14" s="42" t="n">
        <v>12</v>
      </c>
      <c r="B14" s="49" t="n"/>
      <c r="C14" s="49" t="n"/>
      <c r="D14" s="49" t="n"/>
      <c r="E14" s="48" t="n"/>
      <c r="F14" s="58" t="n"/>
      <c r="G14" s="58" t="n"/>
      <c r="H14" s="50" t="n"/>
      <c r="I14" s="50" t="n"/>
      <c r="J14" s="33">
        <f>IF(G14&gt;0,G14*H14,"")</f>
        <v/>
      </c>
      <c r="K14" s="48">
        <f>IF(G14="","",IF(G14=0,"🔴 SIN STOCK",IF(G14&lt;=F14,"🟡 BAJO","🟢 OK")))</f>
        <v/>
      </c>
      <c r="L14" s="49" t="n"/>
      <c r="M14" s="49" t="n"/>
    </row>
    <row r="15" ht="18" customHeight="1">
      <c r="A15" s="42" t="n">
        <v>13</v>
      </c>
      <c r="B15" s="45" t="n"/>
      <c r="C15" s="45" t="n"/>
      <c r="D15" s="45" t="n"/>
      <c r="E15" s="44" t="n"/>
      <c r="F15" s="57" t="n"/>
      <c r="G15" s="57" t="n"/>
      <c r="H15" s="46" t="n"/>
      <c r="I15" s="46" t="n"/>
      <c r="J15" s="30">
        <f>IF(G15&gt;0,G15*H15,"")</f>
        <v/>
      </c>
      <c r="K15" s="44">
        <f>IF(G15="","",IF(G15=0,"🔴 SIN STOCK",IF(G15&lt;=F15,"🟡 BAJO","🟢 OK")))</f>
        <v/>
      </c>
      <c r="L15" s="45" t="n"/>
      <c r="M15" s="45" t="n"/>
    </row>
    <row r="16" ht="18" customHeight="1">
      <c r="A16" s="42" t="n">
        <v>14</v>
      </c>
      <c r="B16" s="49" t="n"/>
      <c r="C16" s="49" t="n"/>
      <c r="D16" s="49" t="n"/>
      <c r="E16" s="48" t="n"/>
      <c r="F16" s="58" t="n"/>
      <c r="G16" s="58" t="n"/>
      <c r="H16" s="50" t="n"/>
      <c r="I16" s="50" t="n"/>
      <c r="J16" s="33">
        <f>IF(G16&gt;0,G16*H16,"")</f>
        <v/>
      </c>
      <c r="K16" s="48">
        <f>IF(G16="","",IF(G16=0,"🔴 SIN STOCK",IF(G16&lt;=F16,"🟡 BAJO","🟢 OK")))</f>
        <v/>
      </c>
      <c r="L16" s="49" t="n"/>
      <c r="M16" s="49" t="n"/>
    </row>
    <row r="17" ht="18" customHeight="1">
      <c r="A17" s="42" t="n">
        <v>15</v>
      </c>
      <c r="B17" s="45" t="n"/>
      <c r="C17" s="45" t="n"/>
      <c r="D17" s="45" t="n"/>
      <c r="E17" s="44" t="n"/>
      <c r="F17" s="57" t="n"/>
      <c r="G17" s="57" t="n"/>
      <c r="H17" s="46" t="n"/>
      <c r="I17" s="46" t="n"/>
      <c r="J17" s="30">
        <f>IF(G17&gt;0,G17*H17,"")</f>
        <v/>
      </c>
      <c r="K17" s="44">
        <f>IF(G17="","",IF(G17=0,"🔴 SIN STOCK",IF(G17&lt;=F17,"🟡 BAJO","🟢 OK")))</f>
        <v/>
      </c>
      <c r="L17" s="45" t="n"/>
      <c r="M17" s="45" t="n"/>
    </row>
    <row r="18" ht="18" customHeight="1">
      <c r="A18" s="42" t="n">
        <v>16</v>
      </c>
      <c r="B18" s="49" t="n"/>
      <c r="C18" s="49" t="n"/>
      <c r="D18" s="49" t="n"/>
      <c r="E18" s="48" t="n"/>
      <c r="F18" s="58" t="n"/>
      <c r="G18" s="58" t="n"/>
      <c r="H18" s="50" t="n"/>
      <c r="I18" s="50" t="n"/>
      <c r="J18" s="33">
        <f>IF(G18&gt;0,G18*H18,"")</f>
        <v/>
      </c>
      <c r="K18" s="48">
        <f>IF(G18="","",IF(G18=0,"🔴 SIN STOCK",IF(G18&lt;=F18,"🟡 BAJO","🟢 OK")))</f>
        <v/>
      </c>
      <c r="L18" s="49" t="n"/>
      <c r="M18" s="49" t="n"/>
    </row>
    <row r="19" ht="18" customHeight="1">
      <c r="A19" s="42" t="n">
        <v>17</v>
      </c>
      <c r="B19" s="45" t="n"/>
      <c r="C19" s="45" t="n"/>
      <c r="D19" s="45" t="n"/>
      <c r="E19" s="44" t="n"/>
      <c r="F19" s="57" t="n"/>
      <c r="G19" s="57" t="n"/>
      <c r="H19" s="46" t="n"/>
      <c r="I19" s="46" t="n"/>
      <c r="J19" s="30">
        <f>IF(G19&gt;0,G19*H19,"")</f>
        <v/>
      </c>
      <c r="K19" s="44">
        <f>IF(G19="","",IF(G19=0,"🔴 SIN STOCK",IF(G19&lt;=F19,"🟡 BAJO","🟢 OK")))</f>
        <v/>
      </c>
      <c r="L19" s="45" t="n"/>
      <c r="M19" s="45" t="n"/>
    </row>
    <row r="20" ht="18" customHeight="1">
      <c r="A20" s="42" t="n">
        <v>18</v>
      </c>
      <c r="B20" s="49" t="n"/>
      <c r="C20" s="49" t="n"/>
      <c r="D20" s="49" t="n"/>
      <c r="E20" s="48" t="n"/>
      <c r="F20" s="58" t="n"/>
      <c r="G20" s="58" t="n"/>
      <c r="H20" s="50" t="n"/>
      <c r="I20" s="50" t="n"/>
      <c r="J20" s="33">
        <f>IF(G20&gt;0,G20*H20,"")</f>
        <v/>
      </c>
      <c r="K20" s="48">
        <f>IF(G20="","",IF(G20=0,"🔴 SIN STOCK",IF(G20&lt;=F20,"🟡 BAJO","🟢 OK")))</f>
        <v/>
      </c>
      <c r="L20" s="49" t="n"/>
      <c r="M20" s="49" t="n"/>
    </row>
    <row r="21" ht="18" customHeight="1">
      <c r="A21" s="42" t="n">
        <v>19</v>
      </c>
      <c r="B21" s="45" t="n"/>
      <c r="C21" s="45" t="n"/>
      <c r="D21" s="45" t="n"/>
      <c r="E21" s="44" t="n"/>
      <c r="F21" s="57" t="n"/>
      <c r="G21" s="57" t="n"/>
      <c r="H21" s="46" t="n"/>
      <c r="I21" s="46" t="n"/>
      <c r="J21" s="30">
        <f>IF(G21&gt;0,G21*H21,"")</f>
        <v/>
      </c>
      <c r="K21" s="44">
        <f>IF(G21="","",IF(G21=0,"🔴 SIN STOCK",IF(G21&lt;=F21,"🟡 BAJO","🟢 OK")))</f>
        <v/>
      </c>
      <c r="L21" s="45" t="n"/>
      <c r="M21" s="45" t="n"/>
    </row>
    <row r="22" ht="18" customHeight="1">
      <c r="A22" s="42" t="n">
        <v>20</v>
      </c>
      <c r="B22" s="49" t="n"/>
      <c r="C22" s="49" t="n"/>
      <c r="D22" s="49" t="n"/>
      <c r="E22" s="48" t="n"/>
      <c r="F22" s="58" t="n"/>
      <c r="G22" s="58" t="n"/>
      <c r="H22" s="50" t="n"/>
      <c r="I22" s="50" t="n"/>
      <c r="J22" s="33">
        <f>IF(G22&gt;0,G22*H22,"")</f>
        <v/>
      </c>
      <c r="K22" s="48">
        <f>IF(G22="","",IF(G22=0,"🔴 SIN STOCK",IF(G22&lt;=F22,"🟡 BAJO","🟢 OK")))</f>
        <v/>
      </c>
      <c r="L22" s="49" t="n"/>
      <c r="M22" s="49" t="n"/>
    </row>
    <row r="23" ht="18" customHeight="1">
      <c r="A23" s="42" t="n">
        <v>21</v>
      </c>
      <c r="B23" s="45" t="n"/>
      <c r="C23" s="45" t="n"/>
      <c r="D23" s="45" t="n"/>
      <c r="E23" s="44" t="n"/>
      <c r="F23" s="57" t="n"/>
      <c r="G23" s="57" t="n"/>
      <c r="H23" s="46" t="n"/>
      <c r="I23" s="46" t="n"/>
      <c r="J23" s="30">
        <f>IF(G23&gt;0,G23*H23,"")</f>
        <v/>
      </c>
      <c r="K23" s="44">
        <f>IF(G23="","",IF(G23=0,"🔴 SIN STOCK",IF(G23&lt;=F23,"🟡 BAJO","🟢 OK")))</f>
        <v/>
      </c>
      <c r="L23" s="45" t="n"/>
      <c r="M23" s="45" t="n"/>
    </row>
    <row r="24" ht="18" customHeight="1">
      <c r="A24" s="42" t="n">
        <v>22</v>
      </c>
      <c r="B24" s="49" t="n"/>
      <c r="C24" s="49" t="n"/>
      <c r="D24" s="49" t="n"/>
      <c r="E24" s="48" t="n"/>
      <c r="F24" s="58" t="n"/>
      <c r="G24" s="58" t="n"/>
      <c r="H24" s="50" t="n"/>
      <c r="I24" s="50" t="n"/>
      <c r="J24" s="33">
        <f>IF(G24&gt;0,G24*H24,"")</f>
        <v/>
      </c>
      <c r="K24" s="48">
        <f>IF(G24="","",IF(G24=0,"🔴 SIN STOCK",IF(G24&lt;=F24,"🟡 BAJO","🟢 OK")))</f>
        <v/>
      </c>
      <c r="L24" s="49" t="n"/>
      <c r="M24" s="49" t="n"/>
    </row>
    <row r="25" ht="18" customHeight="1">
      <c r="A25" s="42" t="n">
        <v>23</v>
      </c>
      <c r="B25" s="45" t="n"/>
      <c r="C25" s="45" t="n"/>
      <c r="D25" s="45" t="n"/>
      <c r="E25" s="44" t="n"/>
      <c r="F25" s="57" t="n"/>
      <c r="G25" s="57" t="n"/>
      <c r="H25" s="46" t="n"/>
      <c r="I25" s="46" t="n"/>
      <c r="J25" s="30">
        <f>IF(G25&gt;0,G25*H25,"")</f>
        <v/>
      </c>
      <c r="K25" s="44">
        <f>IF(G25="","",IF(G25=0,"🔴 SIN STOCK",IF(G25&lt;=F25,"🟡 BAJO","🟢 OK")))</f>
        <v/>
      </c>
      <c r="L25" s="45" t="n"/>
      <c r="M25" s="45" t="n"/>
    </row>
    <row r="26" ht="18" customHeight="1">
      <c r="A26" s="42" t="n">
        <v>24</v>
      </c>
      <c r="B26" s="49" t="n"/>
      <c r="C26" s="49" t="n"/>
      <c r="D26" s="49" t="n"/>
      <c r="E26" s="48" t="n"/>
      <c r="F26" s="58" t="n"/>
      <c r="G26" s="58" t="n"/>
      <c r="H26" s="50" t="n"/>
      <c r="I26" s="50" t="n"/>
      <c r="J26" s="33">
        <f>IF(G26&gt;0,G26*H26,"")</f>
        <v/>
      </c>
      <c r="K26" s="48">
        <f>IF(G26="","",IF(G26=0,"🔴 SIN STOCK",IF(G26&lt;=F26,"🟡 BAJO","🟢 OK")))</f>
        <v/>
      </c>
      <c r="L26" s="49" t="n"/>
      <c r="M26" s="49" t="n"/>
    </row>
    <row r="27" ht="18" customHeight="1">
      <c r="A27" s="42" t="n">
        <v>25</v>
      </c>
      <c r="B27" s="45" t="n"/>
      <c r="C27" s="45" t="n"/>
      <c r="D27" s="45" t="n"/>
      <c r="E27" s="44" t="n"/>
      <c r="F27" s="57" t="n"/>
      <c r="G27" s="57" t="n"/>
      <c r="H27" s="46" t="n"/>
      <c r="I27" s="46" t="n"/>
      <c r="J27" s="30">
        <f>IF(G27&gt;0,G27*H27,"")</f>
        <v/>
      </c>
      <c r="K27" s="44">
        <f>IF(G27="","",IF(G27=0,"🔴 SIN STOCK",IF(G27&lt;=F27,"🟡 BAJO","🟢 OK")))</f>
        <v/>
      </c>
      <c r="L27" s="45" t="n"/>
      <c r="M27" s="45" t="n"/>
    </row>
    <row r="28" ht="18" customHeight="1">
      <c r="A28" s="42" t="n">
        <v>26</v>
      </c>
      <c r="B28" s="49" t="n"/>
      <c r="C28" s="49" t="n"/>
      <c r="D28" s="49" t="n"/>
      <c r="E28" s="48" t="n"/>
      <c r="F28" s="58" t="n"/>
      <c r="G28" s="58" t="n"/>
      <c r="H28" s="50" t="n"/>
      <c r="I28" s="50" t="n"/>
      <c r="J28" s="33">
        <f>IF(G28&gt;0,G28*H28,"")</f>
        <v/>
      </c>
      <c r="K28" s="48">
        <f>IF(G28="","",IF(G28=0,"🔴 SIN STOCK",IF(G28&lt;=F28,"🟡 BAJO","🟢 OK")))</f>
        <v/>
      </c>
      <c r="L28" s="49" t="n"/>
      <c r="M28" s="49" t="n"/>
    </row>
    <row r="29" ht="18" customHeight="1">
      <c r="A29" s="42" t="n">
        <v>27</v>
      </c>
      <c r="B29" s="45" t="n"/>
      <c r="C29" s="45" t="n"/>
      <c r="D29" s="45" t="n"/>
      <c r="E29" s="44" t="n"/>
      <c r="F29" s="57" t="n"/>
      <c r="G29" s="57" t="n"/>
      <c r="H29" s="46" t="n"/>
      <c r="I29" s="46" t="n"/>
      <c r="J29" s="30">
        <f>IF(G29&gt;0,G29*H29,"")</f>
        <v/>
      </c>
      <c r="K29" s="44">
        <f>IF(G29="","",IF(G29=0,"🔴 SIN STOCK",IF(G29&lt;=F29,"🟡 BAJO","🟢 OK")))</f>
        <v/>
      </c>
      <c r="L29" s="45" t="n"/>
      <c r="M29" s="45" t="n"/>
    </row>
    <row r="30" ht="18" customHeight="1">
      <c r="A30" s="42" t="n">
        <v>28</v>
      </c>
      <c r="B30" s="49" t="n"/>
      <c r="C30" s="49" t="n"/>
      <c r="D30" s="49" t="n"/>
      <c r="E30" s="48" t="n"/>
      <c r="F30" s="58" t="n"/>
      <c r="G30" s="58" t="n"/>
      <c r="H30" s="50" t="n"/>
      <c r="I30" s="50" t="n"/>
      <c r="J30" s="33">
        <f>IF(G30&gt;0,G30*H30,"")</f>
        <v/>
      </c>
      <c r="K30" s="48">
        <f>IF(G30="","",IF(G30=0,"🔴 SIN STOCK",IF(G30&lt;=F30,"🟡 BAJO","🟢 OK")))</f>
        <v/>
      </c>
      <c r="L30" s="49" t="n"/>
      <c r="M30" s="49" t="n"/>
    </row>
    <row r="31" ht="18" customHeight="1">
      <c r="A31" s="42" t="n">
        <v>29</v>
      </c>
      <c r="B31" s="45" t="n"/>
      <c r="C31" s="45" t="n"/>
      <c r="D31" s="45" t="n"/>
      <c r="E31" s="44" t="n"/>
      <c r="F31" s="57" t="n"/>
      <c r="G31" s="57" t="n"/>
      <c r="H31" s="46" t="n"/>
      <c r="I31" s="46" t="n"/>
      <c r="J31" s="30">
        <f>IF(G31&gt;0,G31*H31,"")</f>
        <v/>
      </c>
      <c r="K31" s="44">
        <f>IF(G31="","",IF(G31=0,"🔴 SIN STOCK",IF(G31&lt;=F31,"🟡 BAJO","🟢 OK")))</f>
        <v/>
      </c>
      <c r="L31" s="45" t="n"/>
      <c r="M31" s="45" t="n"/>
    </row>
    <row r="32" ht="18" customHeight="1">
      <c r="A32" s="42" t="n">
        <v>30</v>
      </c>
      <c r="B32" s="49" t="n"/>
      <c r="C32" s="49" t="n"/>
      <c r="D32" s="49" t="n"/>
      <c r="E32" s="48" t="n"/>
      <c r="F32" s="58" t="n"/>
      <c r="G32" s="58" t="n"/>
      <c r="H32" s="50" t="n"/>
      <c r="I32" s="50" t="n"/>
      <c r="J32" s="33">
        <f>IF(G32&gt;0,G32*H32,"")</f>
        <v/>
      </c>
      <c r="K32" s="48">
        <f>IF(G32="","",IF(G32=0,"🔴 SIN STOCK",IF(G32&lt;=F32,"🟡 BAJO","🟢 OK")))</f>
        <v/>
      </c>
      <c r="L32" s="49" t="n"/>
      <c r="M32" s="49" t="n"/>
    </row>
    <row r="33" ht="18" customHeight="1">
      <c r="A33" s="42" t="n">
        <v>31</v>
      </c>
      <c r="B33" s="45" t="n"/>
      <c r="C33" s="45" t="n"/>
      <c r="D33" s="45" t="n"/>
      <c r="E33" s="44" t="n"/>
      <c r="F33" s="57" t="n"/>
      <c r="G33" s="57" t="n"/>
      <c r="H33" s="46" t="n"/>
      <c r="I33" s="46" t="n"/>
      <c r="J33" s="30">
        <f>IF(G33&gt;0,G33*H33,"")</f>
        <v/>
      </c>
      <c r="K33" s="44">
        <f>IF(G33="","",IF(G33=0,"🔴 SIN STOCK",IF(G33&lt;=F33,"🟡 BAJO","🟢 OK")))</f>
        <v/>
      </c>
      <c r="L33" s="45" t="n"/>
      <c r="M33" s="45" t="n"/>
    </row>
    <row r="34" ht="18" customHeight="1">
      <c r="A34" s="42" t="n">
        <v>32</v>
      </c>
      <c r="B34" s="49" t="n"/>
      <c r="C34" s="49" t="n"/>
      <c r="D34" s="49" t="n"/>
      <c r="E34" s="48" t="n"/>
      <c r="F34" s="58" t="n"/>
      <c r="G34" s="58" t="n"/>
      <c r="H34" s="50" t="n"/>
      <c r="I34" s="50" t="n"/>
      <c r="J34" s="33">
        <f>IF(G34&gt;0,G34*H34,"")</f>
        <v/>
      </c>
      <c r="K34" s="48">
        <f>IF(G34="","",IF(G34=0,"🔴 SIN STOCK",IF(G34&lt;=F34,"🟡 BAJO","🟢 OK")))</f>
        <v/>
      </c>
      <c r="L34" s="49" t="n"/>
      <c r="M34" s="49" t="n"/>
    </row>
    <row r="35" ht="18" customHeight="1">
      <c r="A35" s="42" t="n">
        <v>33</v>
      </c>
      <c r="B35" s="45" t="n"/>
      <c r="C35" s="45" t="n"/>
      <c r="D35" s="45" t="n"/>
      <c r="E35" s="44" t="n"/>
      <c r="F35" s="57" t="n"/>
      <c r="G35" s="57" t="n"/>
      <c r="H35" s="46" t="n"/>
      <c r="I35" s="46" t="n"/>
      <c r="J35" s="30">
        <f>IF(G35&gt;0,G35*H35,"")</f>
        <v/>
      </c>
      <c r="K35" s="44">
        <f>IF(G35="","",IF(G35=0,"🔴 SIN STOCK",IF(G35&lt;=F35,"🟡 BAJO","🟢 OK")))</f>
        <v/>
      </c>
      <c r="L35" s="45" t="n"/>
      <c r="M35" s="45" t="n"/>
    </row>
    <row r="36" ht="18" customHeight="1">
      <c r="A36" s="42" t="n">
        <v>34</v>
      </c>
      <c r="B36" s="49" t="n"/>
      <c r="C36" s="49" t="n"/>
      <c r="D36" s="49" t="n"/>
      <c r="E36" s="48" t="n"/>
      <c r="F36" s="58" t="n"/>
      <c r="G36" s="58" t="n"/>
      <c r="H36" s="50" t="n"/>
      <c r="I36" s="50" t="n"/>
      <c r="J36" s="33">
        <f>IF(G36&gt;0,G36*H36,"")</f>
        <v/>
      </c>
      <c r="K36" s="48">
        <f>IF(G36="","",IF(G36=0,"🔴 SIN STOCK",IF(G36&lt;=F36,"🟡 BAJO","🟢 OK")))</f>
        <v/>
      </c>
      <c r="L36" s="49" t="n"/>
      <c r="M36" s="49" t="n"/>
    </row>
    <row r="37" ht="18" customHeight="1">
      <c r="A37" s="42" t="n">
        <v>35</v>
      </c>
      <c r="B37" s="45" t="n"/>
      <c r="C37" s="45" t="n"/>
      <c r="D37" s="45" t="n"/>
      <c r="E37" s="44" t="n"/>
      <c r="F37" s="57" t="n"/>
      <c r="G37" s="57" t="n"/>
      <c r="H37" s="46" t="n"/>
      <c r="I37" s="46" t="n"/>
      <c r="J37" s="30">
        <f>IF(G37&gt;0,G37*H37,"")</f>
        <v/>
      </c>
      <c r="K37" s="44">
        <f>IF(G37="","",IF(G37=0,"🔴 SIN STOCK",IF(G37&lt;=F37,"🟡 BAJO","🟢 OK")))</f>
        <v/>
      </c>
      <c r="L37" s="45" t="n"/>
      <c r="M37" s="45" t="n"/>
    </row>
    <row r="38" ht="18" customHeight="1">
      <c r="A38" s="42" t="n">
        <v>36</v>
      </c>
      <c r="B38" s="49" t="n"/>
      <c r="C38" s="49" t="n"/>
      <c r="D38" s="49" t="n"/>
      <c r="E38" s="48" t="n"/>
      <c r="F38" s="58" t="n"/>
      <c r="G38" s="58" t="n"/>
      <c r="H38" s="50" t="n"/>
      <c r="I38" s="50" t="n"/>
      <c r="J38" s="33">
        <f>IF(G38&gt;0,G38*H38,"")</f>
        <v/>
      </c>
      <c r="K38" s="48">
        <f>IF(G38="","",IF(G38=0,"🔴 SIN STOCK",IF(G38&lt;=F38,"🟡 BAJO","🟢 OK")))</f>
        <v/>
      </c>
      <c r="L38" s="49" t="n"/>
      <c r="M38" s="49" t="n"/>
    </row>
    <row r="39" ht="18" customHeight="1">
      <c r="A39" s="42" t="n">
        <v>37</v>
      </c>
      <c r="B39" s="45" t="n"/>
      <c r="C39" s="45" t="n"/>
      <c r="D39" s="45" t="n"/>
      <c r="E39" s="44" t="n"/>
      <c r="F39" s="57" t="n"/>
      <c r="G39" s="57" t="n"/>
      <c r="H39" s="46" t="n"/>
      <c r="I39" s="46" t="n"/>
      <c r="J39" s="30">
        <f>IF(G39&gt;0,G39*H39,"")</f>
        <v/>
      </c>
      <c r="K39" s="44">
        <f>IF(G39="","",IF(G39=0,"🔴 SIN STOCK",IF(G39&lt;=F39,"🟡 BAJO","🟢 OK")))</f>
        <v/>
      </c>
      <c r="L39" s="45" t="n"/>
      <c r="M39" s="45" t="n"/>
    </row>
    <row r="40" ht="18" customHeight="1">
      <c r="A40" s="42" t="n">
        <v>38</v>
      </c>
      <c r="B40" s="49" t="n"/>
      <c r="C40" s="49" t="n"/>
      <c r="D40" s="49" t="n"/>
      <c r="E40" s="48" t="n"/>
      <c r="F40" s="58" t="n"/>
      <c r="G40" s="58" t="n"/>
      <c r="H40" s="50" t="n"/>
      <c r="I40" s="50" t="n"/>
      <c r="J40" s="33">
        <f>IF(G40&gt;0,G40*H40,"")</f>
        <v/>
      </c>
      <c r="K40" s="48">
        <f>IF(G40="","",IF(G40=0,"🔴 SIN STOCK",IF(G40&lt;=F40,"🟡 BAJO","🟢 OK")))</f>
        <v/>
      </c>
      <c r="L40" s="49" t="n"/>
      <c r="M40" s="49" t="n"/>
    </row>
    <row r="41" ht="18" customHeight="1">
      <c r="A41" s="42" t="n">
        <v>39</v>
      </c>
      <c r="B41" s="45" t="n"/>
      <c r="C41" s="45" t="n"/>
      <c r="D41" s="45" t="n"/>
      <c r="E41" s="44" t="n"/>
      <c r="F41" s="57" t="n"/>
      <c r="G41" s="57" t="n"/>
      <c r="H41" s="46" t="n"/>
      <c r="I41" s="46" t="n"/>
      <c r="J41" s="30">
        <f>IF(G41&gt;0,G41*H41,"")</f>
        <v/>
      </c>
      <c r="K41" s="44">
        <f>IF(G41="","",IF(G41=0,"🔴 SIN STOCK",IF(G41&lt;=F41,"🟡 BAJO","🟢 OK")))</f>
        <v/>
      </c>
      <c r="L41" s="45" t="n"/>
      <c r="M41" s="45" t="n"/>
    </row>
    <row r="42" ht="18" customHeight="1">
      <c r="A42" s="42" t="n">
        <v>40</v>
      </c>
      <c r="B42" s="49" t="n"/>
      <c r="C42" s="49" t="n"/>
      <c r="D42" s="49" t="n"/>
      <c r="E42" s="48" t="n"/>
      <c r="F42" s="58" t="n"/>
      <c r="G42" s="58" t="n"/>
      <c r="H42" s="50" t="n"/>
      <c r="I42" s="50" t="n"/>
      <c r="J42" s="33">
        <f>IF(G42&gt;0,G42*H42,"")</f>
        <v/>
      </c>
      <c r="K42" s="48">
        <f>IF(G42="","",IF(G42=0,"🔴 SIN STOCK",IF(G42&lt;=F42,"🟡 BAJO","🟢 OK")))</f>
        <v/>
      </c>
      <c r="L42" s="49" t="n"/>
      <c r="M42" s="49" t="n"/>
    </row>
    <row r="43" ht="18" customHeight="1">
      <c r="A43" s="42" t="n">
        <v>41</v>
      </c>
      <c r="B43" s="45" t="n"/>
      <c r="C43" s="45" t="n"/>
      <c r="D43" s="45" t="n"/>
      <c r="E43" s="44" t="n"/>
      <c r="F43" s="57" t="n"/>
      <c r="G43" s="57" t="n"/>
      <c r="H43" s="46" t="n"/>
      <c r="I43" s="46" t="n"/>
      <c r="J43" s="30">
        <f>IF(G43&gt;0,G43*H43,"")</f>
        <v/>
      </c>
      <c r="K43" s="44">
        <f>IF(G43="","",IF(G43=0,"🔴 SIN STOCK",IF(G43&lt;=F43,"🟡 BAJO","🟢 OK")))</f>
        <v/>
      </c>
      <c r="L43" s="45" t="n"/>
      <c r="M43" s="45" t="n"/>
    </row>
    <row r="44" ht="18" customHeight="1">
      <c r="A44" s="42" t="n">
        <v>42</v>
      </c>
      <c r="B44" s="49" t="n"/>
      <c r="C44" s="49" t="n"/>
      <c r="D44" s="49" t="n"/>
      <c r="E44" s="48" t="n"/>
      <c r="F44" s="58" t="n"/>
      <c r="G44" s="58" t="n"/>
      <c r="H44" s="50" t="n"/>
      <c r="I44" s="50" t="n"/>
      <c r="J44" s="33">
        <f>IF(G44&gt;0,G44*H44,"")</f>
        <v/>
      </c>
      <c r="K44" s="48">
        <f>IF(G44="","",IF(G44=0,"🔴 SIN STOCK",IF(G44&lt;=F44,"🟡 BAJO","🟢 OK")))</f>
        <v/>
      </c>
      <c r="L44" s="49" t="n"/>
      <c r="M44" s="49" t="n"/>
    </row>
    <row r="45" ht="18" customHeight="1">
      <c r="A45" s="42" t="n">
        <v>43</v>
      </c>
      <c r="B45" s="45" t="n"/>
      <c r="C45" s="45" t="n"/>
      <c r="D45" s="45" t="n"/>
      <c r="E45" s="44" t="n"/>
      <c r="F45" s="57" t="n"/>
      <c r="G45" s="57" t="n"/>
      <c r="H45" s="46" t="n"/>
      <c r="I45" s="46" t="n"/>
      <c r="J45" s="30">
        <f>IF(G45&gt;0,G45*H45,"")</f>
        <v/>
      </c>
      <c r="K45" s="44">
        <f>IF(G45="","",IF(G45=0,"🔴 SIN STOCK",IF(G45&lt;=F45,"🟡 BAJO","🟢 OK")))</f>
        <v/>
      </c>
      <c r="L45" s="45" t="n"/>
      <c r="M45" s="45" t="n"/>
    </row>
    <row r="46" ht="18" customHeight="1">
      <c r="A46" s="42" t="n">
        <v>44</v>
      </c>
      <c r="B46" s="49" t="n"/>
      <c r="C46" s="49" t="n"/>
      <c r="D46" s="49" t="n"/>
      <c r="E46" s="48" t="n"/>
      <c r="F46" s="58" t="n"/>
      <c r="G46" s="58" t="n"/>
      <c r="H46" s="50" t="n"/>
      <c r="I46" s="50" t="n"/>
      <c r="J46" s="33">
        <f>IF(G46&gt;0,G46*H46,"")</f>
        <v/>
      </c>
      <c r="K46" s="48">
        <f>IF(G46="","",IF(G46=0,"🔴 SIN STOCK",IF(G46&lt;=F46,"🟡 BAJO","🟢 OK")))</f>
        <v/>
      </c>
      <c r="L46" s="49" t="n"/>
      <c r="M46" s="49" t="n"/>
    </row>
    <row r="47" ht="18" customHeight="1">
      <c r="A47" s="42" t="n">
        <v>45</v>
      </c>
      <c r="B47" s="45" t="n"/>
      <c r="C47" s="45" t="n"/>
      <c r="D47" s="45" t="n"/>
      <c r="E47" s="44" t="n"/>
      <c r="F47" s="57" t="n"/>
      <c r="G47" s="57" t="n"/>
      <c r="H47" s="46" t="n"/>
      <c r="I47" s="46" t="n"/>
      <c r="J47" s="30">
        <f>IF(G47&gt;0,G47*H47,"")</f>
        <v/>
      </c>
      <c r="K47" s="44">
        <f>IF(G47="","",IF(G47=0,"🔴 SIN STOCK",IF(G47&lt;=F47,"🟡 BAJO","🟢 OK")))</f>
        <v/>
      </c>
      <c r="L47" s="45" t="n"/>
      <c r="M47" s="45" t="n"/>
    </row>
    <row r="48" ht="18" customHeight="1">
      <c r="A48" s="42" t="n">
        <v>46</v>
      </c>
      <c r="B48" s="49" t="n"/>
      <c r="C48" s="49" t="n"/>
      <c r="D48" s="49" t="n"/>
      <c r="E48" s="48" t="n"/>
      <c r="F48" s="58" t="n"/>
      <c r="G48" s="58" t="n"/>
      <c r="H48" s="50" t="n"/>
      <c r="I48" s="50" t="n"/>
      <c r="J48" s="33">
        <f>IF(G48&gt;0,G48*H48,"")</f>
        <v/>
      </c>
      <c r="K48" s="48">
        <f>IF(G48="","",IF(G48=0,"🔴 SIN STOCK",IF(G48&lt;=F48,"🟡 BAJO","🟢 OK")))</f>
        <v/>
      </c>
      <c r="L48" s="49" t="n"/>
      <c r="M48" s="49" t="n"/>
    </row>
    <row r="49" ht="18" customHeight="1">
      <c r="A49" s="42" t="n">
        <v>47</v>
      </c>
      <c r="B49" s="45" t="n"/>
      <c r="C49" s="45" t="n"/>
      <c r="D49" s="45" t="n"/>
      <c r="E49" s="44" t="n"/>
      <c r="F49" s="57" t="n"/>
      <c r="G49" s="57" t="n"/>
      <c r="H49" s="46" t="n"/>
      <c r="I49" s="46" t="n"/>
      <c r="J49" s="30">
        <f>IF(G49&gt;0,G49*H49,"")</f>
        <v/>
      </c>
      <c r="K49" s="44">
        <f>IF(G49="","",IF(G49=0,"🔴 SIN STOCK",IF(G49&lt;=F49,"🟡 BAJO","🟢 OK")))</f>
        <v/>
      </c>
      <c r="L49" s="45" t="n"/>
      <c r="M49" s="45" t="n"/>
    </row>
    <row r="50" ht="18" customHeight="1">
      <c r="A50" s="42" t="n">
        <v>48</v>
      </c>
      <c r="B50" s="49" t="n"/>
      <c r="C50" s="49" t="n"/>
      <c r="D50" s="49" t="n"/>
      <c r="E50" s="48" t="n"/>
      <c r="F50" s="58" t="n"/>
      <c r="G50" s="58" t="n"/>
      <c r="H50" s="50" t="n"/>
      <c r="I50" s="50" t="n"/>
      <c r="J50" s="33">
        <f>IF(G50&gt;0,G50*H50,"")</f>
        <v/>
      </c>
      <c r="K50" s="48">
        <f>IF(G50="","",IF(G50=0,"🔴 SIN STOCK",IF(G50&lt;=F50,"🟡 BAJO","🟢 OK")))</f>
        <v/>
      </c>
      <c r="L50" s="49" t="n"/>
      <c r="M50" s="49" t="n"/>
    </row>
    <row r="51" ht="18" customHeight="1">
      <c r="A51" s="42" t="n">
        <v>49</v>
      </c>
      <c r="B51" s="45" t="n"/>
      <c r="C51" s="45" t="n"/>
      <c r="D51" s="45" t="n"/>
      <c r="E51" s="44" t="n"/>
      <c r="F51" s="57" t="n"/>
      <c r="G51" s="57" t="n"/>
      <c r="H51" s="46" t="n"/>
      <c r="I51" s="46" t="n"/>
      <c r="J51" s="30">
        <f>IF(G51&gt;0,G51*H51,"")</f>
        <v/>
      </c>
      <c r="K51" s="44">
        <f>IF(G51="","",IF(G51=0,"🔴 SIN STOCK",IF(G51&lt;=F51,"🟡 BAJO","🟢 OK")))</f>
        <v/>
      </c>
      <c r="L51" s="45" t="n"/>
      <c r="M51" s="45" t="n"/>
    </row>
    <row r="52" ht="18" customHeight="1">
      <c r="A52" s="42" t="n">
        <v>50</v>
      </c>
      <c r="B52" s="49" t="n"/>
      <c r="C52" s="49" t="n"/>
      <c r="D52" s="49" t="n"/>
      <c r="E52" s="48" t="n"/>
      <c r="F52" s="58" t="n"/>
      <c r="G52" s="58" t="n"/>
      <c r="H52" s="50" t="n"/>
      <c r="I52" s="50" t="n"/>
      <c r="J52" s="33">
        <f>IF(G52&gt;0,G52*H52,"")</f>
        <v/>
      </c>
      <c r="K52" s="48">
        <f>IF(G52="","",IF(G52=0,"🔴 SIN STOCK",IF(G52&lt;=F52,"🟡 BAJO","🟢 OK")))</f>
        <v/>
      </c>
      <c r="L52" s="49" t="n"/>
      <c r="M52" s="49" t="n"/>
    </row>
    <row r="53" ht="18" customHeight="1">
      <c r="A53" s="42" t="n">
        <v>51</v>
      </c>
      <c r="B53" s="45" t="n"/>
      <c r="C53" s="45" t="n"/>
      <c r="D53" s="45" t="n"/>
      <c r="E53" s="44" t="n"/>
      <c r="F53" s="57" t="n"/>
      <c r="G53" s="57" t="n"/>
      <c r="H53" s="46" t="n"/>
      <c r="I53" s="46" t="n"/>
      <c r="J53" s="30">
        <f>IF(G53&gt;0,G53*H53,"")</f>
        <v/>
      </c>
      <c r="K53" s="44">
        <f>IF(G53="","",IF(G53=0,"🔴 SIN STOCK",IF(G53&lt;=F53,"🟡 BAJO","🟢 OK")))</f>
        <v/>
      </c>
      <c r="L53" s="45" t="n"/>
      <c r="M53" s="45" t="n"/>
    </row>
    <row r="54" ht="18" customHeight="1">
      <c r="A54" s="42" t="n">
        <v>52</v>
      </c>
      <c r="B54" s="49" t="n"/>
      <c r="C54" s="49" t="n"/>
      <c r="D54" s="49" t="n"/>
      <c r="E54" s="48" t="n"/>
      <c r="F54" s="58" t="n"/>
      <c r="G54" s="58" t="n"/>
      <c r="H54" s="50" t="n"/>
      <c r="I54" s="50" t="n"/>
      <c r="J54" s="33">
        <f>IF(G54&gt;0,G54*H54,"")</f>
        <v/>
      </c>
      <c r="K54" s="48">
        <f>IF(G54="","",IF(G54=0,"🔴 SIN STOCK",IF(G54&lt;=F54,"🟡 BAJO","🟢 OK")))</f>
        <v/>
      </c>
      <c r="L54" s="49" t="n"/>
      <c r="M54" s="49" t="n"/>
    </row>
    <row r="55" ht="18" customHeight="1">
      <c r="A55" s="42" t="n">
        <v>53</v>
      </c>
      <c r="B55" s="45" t="n"/>
      <c r="C55" s="45" t="n"/>
      <c r="D55" s="45" t="n"/>
      <c r="E55" s="44" t="n"/>
      <c r="F55" s="57" t="n"/>
      <c r="G55" s="57" t="n"/>
      <c r="H55" s="46" t="n"/>
      <c r="I55" s="46" t="n"/>
      <c r="J55" s="30">
        <f>IF(G55&gt;0,G55*H55,"")</f>
        <v/>
      </c>
      <c r="K55" s="44">
        <f>IF(G55="","",IF(G55=0,"🔴 SIN STOCK",IF(G55&lt;=F55,"🟡 BAJO","🟢 OK")))</f>
        <v/>
      </c>
      <c r="L55" s="45" t="n"/>
      <c r="M55" s="45" t="n"/>
    </row>
    <row r="56" ht="18" customHeight="1">
      <c r="A56" s="42" t="n">
        <v>54</v>
      </c>
      <c r="B56" s="49" t="n"/>
      <c r="C56" s="49" t="n"/>
      <c r="D56" s="49" t="n"/>
      <c r="E56" s="48" t="n"/>
      <c r="F56" s="58" t="n"/>
      <c r="G56" s="58" t="n"/>
      <c r="H56" s="50" t="n"/>
      <c r="I56" s="50" t="n"/>
      <c r="J56" s="33">
        <f>IF(G56&gt;0,G56*H56,"")</f>
        <v/>
      </c>
      <c r="K56" s="48">
        <f>IF(G56="","",IF(G56=0,"🔴 SIN STOCK",IF(G56&lt;=F56,"🟡 BAJO","🟢 OK")))</f>
        <v/>
      </c>
      <c r="L56" s="49" t="n"/>
      <c r="M56" s="49" t="n"/>
    </row>
    <row r="57" ht="18" customHeight="1">
      <c r="A57" s="42" t="n">
        <v>55</v>
      </c>
      <c r="B57" s="45" t="n"/>
      <c r="C57" s="45" t="n"/>
      <c r="D57" s="45" t="n"/>
      <c r="E57" s="44" t="n"/>
      <c r="F57" s="57" t="n"/>
      <c r="G57" s="57" t="n"/>
      <c r="H57" s="46" t="n"/>
      <c r="I57" s="46" t="n"/>
      <c r="J57" s="30">
        <f>IF(G57&gt;0,G57*H57,"")</f>
        <v/>
      </c>
      <c r="K57" s="44">
        <f>IF(G57="","",IF(G57=0,"🔴 SIN STOCK",IF(G57&lt;=F57,"🟡 BAJO","🟢 OK")))</f>
        <v/>
      </c>
      <c r="L57" s="45" t="n"/>
      <c r="M57" s="45" t="n"/>
    </row>
    <row r="58" ht="18" customHeight="1">
      <c r="A58" s="42" t="n">
        <v>56</v>
      </c>
      <c r="B58" s="49" t="n"/>
      <c r="C58" s="49" t="n"/>
      <c r="D58" s="49" t="n"/>
      <c r="E58" s="48" t="n"/>
      <c r="F58" s="58" t="n"/>
      <c r="G58" s="58" t="n"/>
      <c r="H58" s="50" t="n"/>
      <c r="I58" s="50" t="n"/>
      <c r="J58" s="33">
        <f>IF(G58&gt;0,G58*H58,"")</f>
        <v/>
      </c>
      <c r="K58" s="48">
        <f>IF(G58="","",IF(G58=0,"🔴 SIN STOCK",IF(G58&lt;=F58,"🟡 BAJO","🟢 OK")))</f>
        <v/>
      </c>
      <c r="L58" s="49" t="n"/>
      <c r="M58" s="49" t="n"/>
    </row>
    <row r="59" ht="18" customHeight="1">
      <c r="A59" s="42" t="n">
        <v>57</v>
      </c>
      <c r="B59" s="45" t="n"/>
      <c r="C59" s="45" t="n"/>
      <c r="D59" s="45" t="n"/>
      <c r="E59" s="44" t="n"/>
      <c r="F59" s="57" t="n"/>
      <c r="G59" s="57" t="n"/>
      <c r="H59" s="46" t="n"/>
      <c r="I59" s="46" t="n"/>
      <c r="J59" s="30">
        <f>IF(G59&gt;0,G59*H59,"")</f>
        <v/>
      </c>
      <c r="K59" s="44">
        <f>IF(G59="","",IF(G59=0,"🔴 SIN STOCK",IF(G59&lt;=F59,"🟡 BAJO","🟢 OK")))</f>
        <v/>
      </c>
      <c r="L59" s="45" t="n"/>
      <c r="M59" s="45" t="n"/>
    </row>
    <row r="60" ht="18" customHeight="1">
      <c r="A60" s="42" t="n">
        <v>58</v>
      </c>
      <c r="B60" s="49" t="n"/>
      <c r="C60" s="49" t="n"/>
      <c r="D60" s="49" t="n"/>
      <c r="E60" s="48" t="n"/>
      <c r="F60" s="58" t="n"/>
      <c r="G60" s="58" t="n"/>
      <c r="H60" s="50" t="n"/>
      <c r="I60" s="50" t="n"/>
      <c r="J60" s="33">
        <f>IF(G60&gt;0,G60*H60,"")</f>
        <v/>
      </c>
      <c r="K60" s="48">
        <f>IF(G60="","",IF(G60=0,"🔴 SIN STOCK",IF(G60&lt;=F60,"🟡 BAJO","🟢 OK")))</f>
        <v/>
      </c>
      <c r="L60" s="49" t="n"/>
      <c r="M60" s="49" t="n"/>
    </row>
    <row r="61" ht="18" customHeight="1">
      <c r="A61" s="42" t="n">
        <v>59</v>
      </c>
      <c r="B61" s="45" t="n"/>
      <c r="C61" s="45" t="n"/>
      <c r="D61" s="45" t="n"/>
      <c r="E61" s="44" t="n"/>
      <c r="F61" s="57" t="n"/>
      <c r="G61" s="57" t="n"/>
      <c r="H61" s="46" t="n"/>
      <c r="I61" s="46" t="n"/>
      <c r="J61" s="30">
        <f>IF(G61&gt;0,G61*H61,"")</f>
        <v/>
      </c>
      <c r="K61" s="44">
        <f>IF(G61="","",IF(G61=0,"🔴 SIN STOCK",IF(G61&lt;=F61,"🟡 BAJO","🟢 OK")))</f>
        <v/>
      </c>
      <c r="L61" s="45" t="n"/>
      <c r="M61" s="45" t="n"/>
    </row>
    <row r="62" ht="18" customHeight="1">
      <c r="A62" s="42" t="n">
        <v>60</v>
      </c>
      <c r="B62" s="49" t="n"/>
      <c r="C62" s="49" t="n"/>
      <c r="D62" s="49" t="n"/>
      <c r="E62" s="48" t="n"/>
      <c r="F62" s="58" t="n"/>
      <c r="G62" s="58" t="n"/>
      <c r="H62" s="50" t="n"/>
      <c r="I62" s="50" t="n"/>
      <c r="J62" s="33">
        <f>IF(G62&gt;0,G62*H62,"")</f>
        <v/>
      </c>
      <c r="K62" s="48">
        <f>IF(G62="","",IF(G62=0,"🔴 SIN STOCK",IF(G62&lt;=F62,"🟡 BAJO","🟢 OK")))</f>
        <v/>
      </c>
      <c r="L62" s="49" t="n"/>
      <c r="M62" s="49" t="n"/>
    </row>
    <row r="63" ht="18" customHeight="1">
      <c r="A63" s="42" t="n">
        <v>61</v>
      </c>
      <c r="B63" s="45" t="n"/>
      <c r="C63" s="45" t="n"/>
      <c r="D63" s="45" t="n"/>
      <c r="E63" s="44" t="n"/>
      <c r="F63" s="57" t="n"/>
      <c r="G63" s="57" t="n"/>
      <c r="H63" s="46" t="n"/>
      <c r="I63" s="46" t="n"/>
      <c r="J63" s="30">
        <f>IF(G63&gt;0,G63*H63,"")</f>
        <v/>
      </c>
      <c r="K63" s="44">
        <f>IF(G63="","",IF(G63=0,"🔴 SIN STOCK",IF(G63&lt;=F63,"🟡 BAJO","🟢 OK")))</f>
        <v/>
      </c>
      <c r="L63" s="45" t="n"/>
      <c r="M63" s="45" t="n"/>
    </row>
    <row r="64" ht="18" customHeight="1">
      <c r="A64" s="42" t="n">
        <v>62</v>
      </c>
      <c r="B64" s="49" t="n"/>
      <c r="C64" s="49" t="n"/>
      <c r="D64" s="49" t="n"/>
      <c r="E64" s="48" t="n"/>
      <c r="F64" s="58" t="n"/>
      <c r="G64" s="58" t="n"/>
      <c r="H64" s="50" t="n"/>
      <c r="I64" s="50" t="n"/>
      <c r="J64" s="33">
        <f>IF(G64&gt;0,G64*H64,"")</f>
        <v/>
      </c>
      <c r="K64" s="48">
        <f>IF(G64="","",IF(G64=0,"🔴 SIN STOCK",IF(G64&lt;=F64,"🟡 BAJO","🟢 OK")))</f>
        <v/>
      </c>
      <c r="L64" s="49" t="n"/>
      <c r="M64" s="49" t="n"/>
    </row>
    <row r="65" ht="18" customHeight="1">
      <c r="A65" s="42" t="n">
        <v>63</v>
      </c>
      <c r="B65" s="45" t="n"/>
      <c r="C65" s="45" t="n"/>
      <c r="D65" s="45" t="n"/>
      <c r="E65" s="44" t="n"/>
      <c r="F65" s="57" t="n"/>
      <c r="G65" s="57" t="n"/>
      <c r="H65" s="46" t="n"/>
      <c r="I65" s="46" t="n"/>
      <c r="J65" s="30">
        <f>IF(G65&gt;0,G65*H65,"")</f>
        <v/>
      </c>
      <c r="K65" s="44">
        <f>IF(G65="","",IF(G65=0,"🔴 SIN STOCK",IF(G65&lt;=F65,"🟡 BAJO","🟢 OK")))</f>
        <v/>
      </c>
      <c r="L65" s="45" t="n"/>
      <c r="M65" s="45" t="n"/>
    </row>
    <row r="66" ht="18" customHeight="1">
      <c r="A66" s="42" t="n">
        <v>64</v>
      </c>
      <c r="B66" s="49" t="n"/>
      <c r="C66" s="49" t="n"/>
      <c r="D66" s="49" t="n"/>
      <c r="E66" s="48" t="n"/>
      <c r="F66" s="58" t="n"/>
      <c r="G66" s="58" t="n"/>
      <c r="H66" s="50" t="n"/>
      <c r="I66" s="50" t="n"/>
      <c r="J66" s="33">
        <f>IF(G66&gt;0,G66*H66,"")</f>
        <v/>
      </c>
      <c r="K66" s="48">
        <f>IF(G66="","",IF(G66=0,"🔴 SIN STOCK",IF(G66&lt;=F66,"🟡 BAJO","🟢 OK")))</f>
        <v/>
      </c>
      <c r="L66" s="49" t="n"/>
      <c r="M66" s="49" t="n"/>
    </row>
    <row r="67" ht="18" customHeight="1">
      <c r="A67" s="42" t="n">
        <v>65</v>
      </c>
      <c r="B67" s="45" t="n"/>
      <c r="C67" s="45" t="n"/>
      <c r="D67" s="45" t="n"/>
      <c r="E67" s="44" t="n"/>
      <c r="F67" s="57" t="n"/>
      <c r="G67" s="57" t="n"/>
      <c r="H67" s="46" t="n"/>
      <c r="I67" s="46" t="n"/>
      <c r="J67" s="30">
        <f>IF(G67&gt;0,G67*H67,"")</f>
        <v/>
      </c>
      <c r="K67" s="44">
        <f>IF(G67="","",IF(G67=0,"🔴 SIN STOCK",IF(G67&lt;=F67,"🟡 BAJO","🟢 OK")))</f>
        <v/>
      </c>
      <c r="L67" s="45" t="n"/>
      <c r="M67" s="45" t="n"/>
    </row>
    <row r="68" ht="18" customHeight="1">
      <c r="A68" s="42" t="n">
        <v>66</v>
      </c>
      <c r="B68" s="49" t="n"/>
      <c r="C68" s="49" t="n"/>
      <c r="D68" s="49" t="n"/>
      <c r="E68" s="48" t="n"/>
      <c r="F68" s="58" t="n"/>
      <c r="G68" s="58" t="n"/>
      <c r="H68" s="50" t="n"/>
      <c r="I68" s="50" t="n"/>
      <c r="J68" s="33">
        <f>IF(G68&gt;0,G68*H68,"")</f>
        <v/>
      </c>
      <c r="K68" s="48">
        <f>IF(G68="","",IF(G68=0,"🔴 SIN STOCK",IF(G68&lt;=F68,"🟡 BAJO","🟢 OK")))</f>
        <v/>
      </c>
      <c r="L68" s="49" t="n"/>
      <c r="M68" s="49" t="n"/>
    </row>
    <row r="69" ht="18" customHeight="1">
      <c r="A69" s="42" t="n">
        <v>67</v>
      </c>
      <c r="B69" s="45" t="n"/>
      <c r="C69" s="45" t="n"/>
      <c r="D69" s="45" t="n"/>
      <c r="E69" s="44" t="n"/>
      <c r="F69" s="57" t="n"/>
      <c r="G69" s="57" t="n"/>
      <c r="H69" s="46" t="n"/>
      <c r="I69" s="46" t="n"/>
      <c r="J69" s="30">
        <f>IF(G69&gt;0,G69*H69,"")</f>
        <v/>
      </c>
      <c r="K69" s="44">
        <f>IF(G69="","",IF(G69=0,"🔴 SIN STOCK",IF(G69&lt;=F69,"🟡 BAJO","🟢 OK")))</f>
        <v/>
      </c>
      <c r="L69" s="45" t="n"/>
      <c r="M69" s="45" t="n"/>
    </row>
    <row r="70" ht="18" customHeight="1">
      <c r="A70" s="42" t="n">
        <v>68</v>
      </c>
      <c r="B70" s="49" t="n"/>
      <c r="C70" s="49" t="n"/>
      <c r="D70" s="49" t="n"/>
      <c r="E70" s="48" t="n"/>
      <c r="F70" s="58" t="n"/>
      <c r="G70" s="58" t="n"/>
      <c r="H70" s="50" t="n"/>
      <c r="I70" s="50" t="n"/>
      <c r="J70" s="33">
        <f>IF(G70&gt;0,G70*H70,"")</f>
        <v/>
      </c>
      <c r="K70" s="48">
        <f>IF(G70="","",IF(G70=0,"🔴 SIN STOCK",IF(G70&lt;=F70,"🟡 BAJO","🟢 OK")))</f>
        <v/>
      </c>
      <c r="L70" s="49" t="n"/>
      <c r="M70" s="49" t="n"/>
    </row>
    <row r="71" ht="18" customHeight="1">
      <c r="A71" s="42" t="n">
        <v>69</v>
      </c>
      <c r="B71" s="45" t="n"/>
      <c r="C71" s="45" t="n"/>
      <c r="D71" s="45" t="n"/>
      <c r="E71" s="44" t="n"/>
      <c r="F71" s="57" t="n"/>
      <c r="G71" s="57" t="n"/>
      <c r="H71" s="46" t="n"/>
      <c r="I71" s="46" t="n"/>
      <c r="J71" s="30">
        <f>IF(G71&gt;0,G71*H71,"")</f>
        <v/>
      </c>
      <c r="K71" s="44">
        <f>IF(G71="","",IF(G71=0,"🔴 SIN STOCK",IF(G71&lt;=F71,"🟡 BAJO","🟢 OK")))</f>
        <v/>
      </c>
      <c r="L71" s="45" t="n"/>
      <c r="M71" s="45" t="n"/>
    </row>
    <row r="72" ht="18" customHeight="1">
      <c r="A72" s="42" t="n">
        <v>70</v>
      </c>
      <c r="B72" s="49" t="n"/>
      <c r="C72" s="49" t="n"/>
      <c r="D72" s="49" t="n"/>
      <c r="E72" s="48" t="n"/>
      <c r="F72" s="58" t="n"/>
      <c r="G72" s="58" t="n"/>
      <c r="H72" s="50" t="n"/>
      <c r="I72" s="50" t="n"/>
      <c r="J72" s="33">
        <f>IF(G72&gt;0,G72*H72,"")</f>
        <v/>
      </c>
      <c r="K72" s="48">
        <f>IF(G72="","",IF(G72=0,"🔴 SIN STOCK",IF(G72&lt;=F72,"🟡 BAJO","🟢 OK")))</f>
        <v/>
      </c>
      <c r="L72" s="49" t="n"/>
      <c r="M72" s="49" t="n"/>
    </row>
    <row r="73" ht="18" customHeight="1">
      <c r="A73" s="42" t="n">
        <v>71</v>
      </c>
      <c r="B73" s="45" t="n"/>
      <c r="C73" s="45" t="n"/>
      <c r="D73" s="45" t="n"/>
      <c r="E73" s="44" t="n"/>
      <c r="F73" s="57" t="n"/>
      <c r="G73" s="57" t="n"/>
      <c r="H73" s="46" t="n"/>
      <c r="I73" s="46" t="n"/>
      <c r="J73" s="30">
        <f>IF(G73&gt;0,G73*H73,"")</f>
        <v/>
      </c>
      <c r="K73" s="44">
        <f>IF(G73="","",IF(G73=0,"🔴 SIN STOCK",IF(G73&lt;=F73,"🟡 BAJO","🟢 OK")))</f>
        <v/>
      </c>
      <c r="L73" s="45" t="n"/>
      <c r="M73" s="45" t="n"/>
    </row>
    <row r="74" ht="18" customHeight="1">
      <c r="A74" s="42" t="n">
        <v>72</v>
      </c>
      <c r="B74" s="49" t="n"/>
      <c r="C74" s="49" t="n"/>
      <c r="D74" s="49" t="n"/>
      <c r="E74" s="48" t="n"/>
      <c r="F74" s="58" t="n"/>
      <c r="G74" s="58" t="n"/>
      <c r="H74" s="50" t="n"/>
      <c r="I74" s="50" t="n"/>
      <c r="J74" s="33">
        <f>IF(G74&gt;0,G74*H74,"")</f>
        <v/>
      </c>
      <c r="K74" s="48">
        <f>IF(G74="","",IF(G74=0,"🔴 SIN STOCK",IF(G74&lt;=F74,"🟡 BAJO","🟢 OK")))</f>
        <v/>
      </c>
      <c r="L74" s="49" t="n"/>
      <c r="M74" s="49" t="n"/>
    </row>
    <row r="75" ht="18" customHeight="1">
      <c r="A75" s="42" t="n">
        <v>73</v>
      </c>
      <c r="B75" s="45" t="n"/>
      <c r="C75" s="45" t="n"/>
      <c r="D75" s="45" t="n"/>
      <c r="E75" s="44" t="n"/>
      <c r="F75" s="57" t="n"/>
      <c r="G75" s="57" t="n"/>
      <c r="H75" s="46" t="n"/>
      <c r="I75" s="46" t="n"/>
      <c r="J75" s="30">
        <f>IF(G75&gt;0,G75*H75,"")</f>
        <v/>
      </c>
      <c r="K75" s="44">
        <f>IF(G75="","",IF(G75=0,"🔴 SIN STOCK",IF(G75&lt;=F75,"🟡 BAJO","🟢 OK")))</f>
        <v/>
      </c>
      <c r="L75" s="45" t="n"/>
      <c r="M75" s="45" t="n"/>
    </row>
    <row r="76" ht="18" customHeight="1">
      <c r="A76" s="42" t="n">
        <v>74</v>
      </c>
      <c r="B76" s="49" t="n"/>
      <c r="C76" s="49" t="n"/>
      <c r="D76" s="49" t="n"/>
      <c r="E76" s="48" t="n"/>
      <c r="F76" s="58" t="n"/>
      <c r="G76" s="58" t="n"/>
      <c r="H76" s="50" t="n"/>
      <c r="I76" s="50" t="n"/>
      <c r="J76" s="33">
        <f>IF(G76&gt;0,G76*H76,"")</f>
        <v/>
      </c>
      <c r="K76" s="48">
        <f>IF(G76="","",IF(G76=0,"🔴 SIN STOCK",IF(G76&lt;=F76,"🟡 BAJO","🟢 OK")))</f>
        <v/>
      </c>
      <c r="L76" s="49" t="n"/>
      <c r="M76" s="49" t="n"/>
    </row>
    <row r="77" ht="18" customHeight="1">
      <c r="A77" s="42" t="n">
        <v>75</v>
      </c>
      <c r="B77" s="45" t="n"/>
      <c r="C77" s="45" t="n"/>
      <c r="D77" s="45" t="n"/>
      <c r="E77" s="44" t="n"/>
      <c r="F77" s="57" t="n"/>
      <c r="G77" s="57" t="n"/>
      <c r="H77" s="46" t="n"/>
      <c r="I77" s="46" t="n"/>
      <c r="J77" s="30">
        <f>IF(G77&gt;0,G77*H77,"")</f>
        <v/>
      </c>
      <c r="K77" s="44">
        <f>IF(G77="","",IF(G77=0,"🔴 SIN STOCK",IF(G77&lt;=F77,"🟡 BAJO","🟢 OK")))</f>
        <v/>
      </c>
      <c r="L77" s="45" t="n"/>
      <c r="M77" s="45" t="n"/>
    </row>
    <row r="78" ht="18" customHeight="1">
      <c r="A78" s="42" t="n">
        <v>76</v>
      </c>
      <c r="B78" s="49" t="n"/>
      <c r="C78" s="49" t="n"/>
      <c r="D78" s="49" t="n"/>
      <c r="E78" s="48" t="n"/>
      <c r="F78" s="58" t="n"/>
      <c r="G78" s="58" t="n"/>
      <c r="H78" s="50" t="n"/>
      <c r="I78" s="50" t="n"/>
      <c r="J78" s="33">
        <f>IF(G78&gt;0,G78*H78,"")</f>
        <v/>
      </c>
      <c r="K78" s="48">
        <f>IF(G78="","",IF(G78=0,"🔴 SIN STOCK",IF(G78&lt;=F78,"🟡 BAJO","🟢 OK")))</f>
        <v/>
      </c>
      <c r="L78" s="49" t="n"/>
      <c r="M78" s="49" t="n"/>
    </row>
    <row r="79" ht="18" customHeight="1">
      <c r="A79" s="42" t="n">
        <v>77</v>
      </c>
      <c r="B79" s="45" t="n"/>
      <c r="C79" s="45" t="n"/>
      <c r="D79" s="45" t="n"/>
      <c r="E79" s="44" t="n"/>
      <c r="F79" s="57" t="n"/>
      <c r="G79" s="57" t="n"/>
      <c r="H79" s="46" t="n"/>
      <c r="I79" s="46" t="n"/>
      <c r="J79" s="30">
        <f>IF(G79&gt;0,G79*H79,"")</f>
        <v/>
      </c>
      <c r="K79" s="44">
        <f>IF(G79="","",IF(G79=0,"🔴 SIN STOCK",IF(G79&lt;=F79,"🟡 BAJO","🟢 OK")))</f>
        <v/>
      </c>
      <c r="L79" s="45" t="n"/>
      <c r="M79" s="45" t="n"/>
    </row>
    <row r="80" ht="18" customHeight="1">
      <c r="A80" s="42" t="n">
        <v>78</v>
      </c>
      <c r="B80" s="49" t="n"/>
      <c r="C80" s="49" t="n"/>
      <c r="D80" s="49" t="n"/>
      <c r="E80" s="48" t="n"/>
      <c r="F80" s="58" t="n"/>
      <c r="G80" s="58" t="n"/>
      <c r="H80" s="50" t="n"/>
      <c r="I80" s="50" t="n"/>
      <c r="J80" s="33">
        <f>IF(G80&gt;0,G80*H80,"")</f>
        <v/>
      </c>
      <c r="K80" s="48">
        <f>IF(G80="","",IF(G80=0,"🔴 SIN STOCK",IF(G80&lt;=F80,"🟡 BAJO","🟢 OK")))</f>
        <v/>
      </c>
      <c r="L80" s="49" t="n"/>
      <c r="M80" s="49" t="n"/>
    </row>
    <row r="81" ht="18" customHeight="1">
      <c r="A81" s="42" t="n">
        <v>79</v>
      </c>
      <c r="B81" s="45" t="n"/>
      <c r="C81" s="45" t="n"/>
      <c r="D81" s="45" t="n"/>
      <c r="E81" s="44" t="n"/>
      <c r="F81" s="57" t="n"/>
      <c r="G81" s="57" t="n"/>
      <c r="H81" s="46" t="n"/>
      <c r="I81" s="46" t="n"/>
      <c r="J81" s="30">
        <f>IF(G81&gt;0,G81*H81,"")</f>
        <v/>
      </c>
      <c r="K81" s="44">
        <f>IF(G81="","",IF(G81=0,"🔴 SIN STOCK",IF(G81&lt;=F81,"🟡 BAJO","🟢 OK")))</f>
        <v/>
      </c>
      <c r="L81" s="45" t="n"/>
      <c r="M81" s="45" t="n"/>
    </row>
    <row r="82" ht="18" customHeight="1">
      <c r="A82" s="42" t="n">
        <v>80</v>
      </c>
      <c r="B82" s="49" t="n"/>
      <c r="C82" s="49" t="n"/>
      <c r="D82" s="49" t="n"/>
      <c r="E82" s="48" t="n"/>
      <c r="F82" s="58" t="n"/>
      <c r="G82" s="58" t="n"/>
      <c r="H82" s="50" t="n"/>
      <c r="I82" s="50" t="n"/>
      <c r="J82" s="33">
        <f>IF(G82&gt;0,G82*H82,"")</f>
        <v/>
      </c>
      <c r="K82" s="48">
        <f>IF(G82="","",IF(G82=0,"🔴 SIN STOCK",IF(G82&lt;=F82,"🟡 BAJO","🟢 OK")))</f>
        <v/>
      </c>
      <c r="L82" s="49" t="n"/>
      <c r="M82" s="49" t="n"/>
    </row>
    <row r="83" ht="18" customHeight="1">
      <c r="A83" s="42" t="n">
        <v>81</v>
      </c>
      <c r="B83" s="45" t="n"/>
      <c r="C83" s="45" t="n"/>
      <c r="D83" s="45" t="n"/>
      <c r="E83" s="44" t="n"/>
      <c r="F83" s="57" t="n"/>
      <c r="G83" s="57" t="n"/>
      <c r="H83" s="46" t="n"/>
      <c r="I83" s="46" t="n"/>
      <c r="J83" s="30">
        <f>IF(G83&gt;0,G83*H83,"")</f>
        <v/>
      </c>
      <c r="K83" s="44">
        <f>IF(G83="","",IF(G83=0,"🔴 SIN STOCK",IF(G83&lt;=F83,"🟡 BAJO","🟢 OK")))</f>
        <v/>
      </c>
      <c r="L83" s="45" t="n"/>
      <c r="M83" s="45" t="n"/>
    </row>
    <row r="84" ht="18" customHeight="1">
      <c r="A84" s="42" t="n">
        <v>82</v>
      </c>
      <c r="B84" s="49" t="n"/>
      <c r="C84" s="49" t="n"/>
      <c r="D84" s="49" t="n"/>
      <c r="E84" s="48" t="n"/>
      <c r="F84" s="58" t="n"/>
      <c r="G84" s="58" t="n"/>
      <c r="H84" s="50" t="n"/>
      <c r="I84" s="50" t="n"/>
      <c r="J84" s="33">
        <f>IF(G84&gt;0,G84*H84,"")</f>
        <v/>
      </c>
      <c r="K84" s="48">
        <f>IF(G84="","",IF(G84=0,"🔴 SIN STOCK",IF(G84&lt;=F84,"🟡 BAJO","🟢 OK")))</f>
        <v/>
      </c>
      <c r="L84" s="49" t="n"/>
      <c r="M84" s="49" t="n"/>
    </row>
    <row r="85" ht="18" customHeight="1">
      <c r="A85" s="42" t="n">
        <v>83</v>
      </c>
      <c r="B85" s="45" t="n"/>
      <c r="C85" s="45" t="n"/>
      <c r="D85" s="45" t="n"/>
      <c r="E85" s="44" t="n"/>
      <c r="F85" s="57" t="n"/>
      <c r="G85" s="57" t="n"/>
      <c r="H85" s="46" t="n"/>
      <c r="I85" s="46" t="n"/>
      <c r="J85" s="30">
        <f>IF(G85&gt;0,G85*H85,"")</f>
        <v/>
      </c>
      <c r="K85" s="44">
        <f>IF(G85="","",IF(G85=0,"🔴 SIN STOCK",IF(G85&lt;=F85,"🟡 BAJO","🟢 OK")))</f>
        <v/>
      </c>
      <c r="L85" s="45" t="n"/>
      <c r="M85" s="45" t="n"/>
    </row>
    <row r="86" ht="18" customHeight="1">
      <c r="A86" s="42" t="n">
        <v>84</v>
      </c>
      <c r="B86" s="49" t="n"/>
      <c r="C86" s="49" t="n"/>
      <c r="D86" s="49" t="n"/>
      <c r="E86" s="48" t="n"/>
      <c r="F86" s="58" t="n"/>
      <c r="G86" s="58" t="n"/>
      <c r="H86" s="50" t="n"/>
      <c r="I86" s="50" t="n"/>
      <c r="J86" s="33">
        <f>IF(G86&gt;0,G86*H86,"")</f>
        <v/>
      </c>
      <c r="K86" s="48">
        <f>IF(G86="","",IF(G86=0,"🔴 SIN STOCK",IF(G86&lt;=F86,"🟡 BAJO","🟢 OK")))</f>
        <v/>
      </c>
      <c r="L86" s="49" t="n"/>
      <c r="M86" s="49" t="n"/>
    </row>
    <row r="87" ht="18" customHeight="1">
      <c r="A87" s="42" t="n">
        <v>85</v>
      </c>
      <c r="B87" s="45" t="n"/>
      <c r="C87" s="45" t="n"/>
      <c r="D87" s="45" t="n"/>
      <c r="E87" s="44" t="n"/>
      <c r="F87" s="57" t="n"/>
      <c r="G87" s="57" t="n"/>
      <c r="H87" s="46" t="n"/>
      <c r="I87" s="46" t="n"/>
      <c r="J87" s="30">
        <f>IF(G87&gt;0,G87*H87,"")</f>
        <v/>
      </c>
      <c r="K87" s="44">
        <f>IF(G87="","",IF(G87=0,"🔴 SIN STOCK",IF(G87&lt;=F87,"🟡 BAJO","🟢 OK")))</f>
        <v/>
      </c>
      <c r="L87" s="45" t="n"/>
      <c r="M87" s="45" t="n"/>
    </row>
    <row r="88" ht="18" customHeight="1">
      <c r="A88" s="42" t="n">
        <v>86</v>
      </c>
      <c r="B88" s="49" t="n"/>
      <c r="C88" s="49" t="n"/>
      <c r="D88" s="49" t="n"/>
      <c r="E88" s="48" t="n"/>
      <c r="F88" s="58" t="n"/>
      <c r="G88" s="58" t="n"/>
      <c r="H88" s="50" t="n"/>
      <c r="I88" s="50" t="n"/>
      <c r="J88" s="33">
        <f>IF(G88&gt;0,G88*H88,"")</f>
        <v/>
      </c>
      <c r="K88" s="48">
        <f>IF(G88="","",IF(G88=0,"🔴 SIN STOCK",IF(G88&lt;=F88,"🟡 BAJO","🟢 OK")))</f>
        <v/>
      </c>
      <c r="L88" s="49" t="n"/>
      <c r="M88" s="49" t="n"/>
    </row>
    <row r="89" ht="18" customHeight="1">
      <c r="A89" s="42" t="n">
        <v>87</v>
      </c>
      <c r="B89" s="45" t="n"/>
      <c r="C89" s="45" t="n"/>
      <c r="D89" s="45" t="n"/>
      <c r="E89" s="44" t="n"/>
      <c r="F89" s="57" t="n"/>
      <c r="G89" s="57" t="n"/>
      <c r="H89" s="46" t="n"/>
      <c r="I89" s="46" t="n"/>
      <c r="J89" s="30">
        <f>IF(G89&gt;0,G89*H89,"")</f>
        <v/>
      </c>
      <c r="K89" s="44">
        <f>IF(G89="","",IF(G89=0,"🔴 SIN STOCK",IF(G89&lt;=F89,"🟡 BAJO","🟢 OK")))</f>
        <v/>
      </c>
      <c r="L89" s="45" t="n"/>
      <c r="M89" s="45" t="n"/>
    </row>
    <row r="90" ht="18" customHeight="1">
      <c r="A90" s="42" t="n">
        <v>88</v>
      </c>
      <c r="B90" s="49" t="n"/>
      <c r="C90" s="49" t="n"/>
      <c r="D90" s="49" t="n"/>
      <c r="E90" s="48" t="n"/>
      <c r="F90" s="58" t="n"/>
      <c r="G90" s="58" t="n"/>
      <c r="H90" s="50" t="n"/>
      <c r="I90" s="50" t="n"/>
      <c r="J90" s="33">
        <f>IF(G90&gt;0,G90*H90,"")</f>
        <v/>
      </c>
      <c r="K90" s="48">
        <f>IF(G90="","",IF(G90=0,"🔴 SIN STOCK",IF(G90&lt;=F90,"🟡 BAJO","🟢 OK")))</f>
        <v/>
      </c>
      <c r="L90" s="49" t="n"/>
      <c r="M90" s="49" t="n"/>
    </row>
    <row r="91" ht="18" customHeight="1">
      <c r="A91" s="42" t="n">
        <v>89</v>
      </c>
      <c r="B91" s="45" t="n"/>
      <c r="C91" s="45" t="n"/>
      <c r="D91" s="45" t="n"/>
      <c r="E91" s="44" t="n"/>
      <c r="F91" s="57" t="n"/>
      <c r="G91" s="57" t="n"/>
      <c r="H91" s="46" t="n"/>
      <c r="I91" s="46" t="n"/>
      <c r="J91" s="30">
        <f>IF(G91&gt;0,G91*H91,"")</f>
        <v/>
      </c>
      <c r="K91" s="44">
        <f>IF(G91="","",IF(G91=0,"🔴 SIN STOCK",IF(G91&lt;=F91,"🟡 BAJO","🟢 OK")))</f>
        <v/>
      </c>
      <c r="L91" s="45" t="n"/>
      <c r="M91" s="45" t="n"/>
    </row>
    <row r="92" ht="18" customHeight="1">
      <c r="A92" s="42" t="n">
        <v>90</v>
      </c>
      <c r="B92" s="49" t="n"/>
      <c r="C92" s="49" t="n"/>
      <c r="D92" s="49" t="n"/>
      <c r="E92" s="48" t="n"/>
      <c r="F92" s="58" t="n"/>
      <c r="G92" s="58" t="n"/>
      <c r="H92" s="50" t="n"/>
      <c r="I92" s="50" t="n"/>
      <c r="J92" s="33">
        <f>IF(G92&gt;0,G92*H92,"")</f>
        <v/>
      </c>
      <c r="K92" s="48">
        <f>IF(G92="","",IF(G92=0,"🔴 SIN STOCK",IF(G92&lt;=F92,"🟡 BAJO","🟢 OK")))</f>
        <v/>
      </c>
      <c r="L92" s="49" t="n"/>
      <c r="M92" s="49" t="n"/>
    </row>
    <row r="93" ht="18" customHeight="1">
      <c r="A93" s="42" t="n">
        <v>91</v>
      </c>
      <c r="B93" s="45" t="n"/>
      <c r="C93" s="45" t="n"/>
      <c r="D93" s="45" t="n"/>
      <c r="E93" s="44" t="n"/>
      <c r="F93" s="57" t="n"/>
      <c r="G93" s="57" t="n"/>
      <c r="H93" s="46" t="n"/>
      <c r="I93" s="46" t="n"/>
      <c r="J93" s="30">
        <f>IF(G93&gt;0,G93*H93,"")</f>
        <v/>
      </c>
      <c r="K93" s="44">
        <f>IF(G93="","",IF(G93=0,"🔴 SIN STOCK",IF(G93&lt;=F93,"🟡 BAJO","🟢 OK")))</f>
        <v/>
      </c>
      <c r="L93" s="45" t="n"/>
      <c r="M93" s="45" t="n"/>
    </row>
    <row r="94" ht="18" customHeight="1">
      <c r="A94" s="42" t="n">
        <v>92</v>
      </c>
      <c r="B94" s="49" t="n"/>
      <c r="C94" s="49" t="n"/>
      <c r="D94" s="49" t="n"/>
      <c r="E94" s="48" t="n"/>
      <c r="F94" s="58" t="n"/>
      <c r="G94" s="58" t="n"/>
      <c r="H94" s="50" t="n"/>
      <c r="I94" s="50" t="n"/>
      <c r="J94" s="33">
        <f>IF(G94&gt;0,G94*H94,"")</f>
        <v/>
      </c>
      <c r="K94" s="48">
        <f>IF(G94="","",IF(G94=0,"🔴 SIN STOCK",IF(G94&lt;=F94,"🟡 BAJO","🟢 OK")))</f>
        <v/>
      </c>
      <c r="L94" s="49" t="n"/>
      <c r="M94" s="49" t="n"/>
    </row>
    <row r="95" ht="18" customHeight="1">
      <c r="A95" s="42" t="n">
        <v>93</v>
      </c>
      <c r="B95" s="45" t="n"/>
      <c r="C95" s="45" t="n"/>
      <c r="D95" s="45" t="n"/>
      <c r="E95" s="44" t="n"/>
      <c r="F95" s="57" t="n"/>
      <c r="G95" s="57" t="n"/>
      <c r="H95" s="46" t="n"/>
      <c r="I95" s="46" t="n"/>
      <c r="J95" s="30">
        <f>IF(G95&gt;0,G95*H95,"")</f>
        <v/>
      </c>
      <c r="K95" s="44">
        <f>IF(G95="","",IF(G95=0,"🔴 SIN STOCK",IF(G95&lt;=F95,"🟡 BAJO","🟢 OK")))</f>
        <v/>
      </c>
      <c r="L95" s="45" t="n"/>
      <c r="M95" s="45" t="n"/>
    </row>
    <row r="96" ht="18" customHeight="1">
      <c r="A96" s="42" t="n">
        <v>94</v>
      </c>
      <c r="B96" s="49" t="n"/>
      <c r="C96" s="49" t="n"/>
      <c r="D96" s="49" t="n"/>
      <c r="E96" s="48" t="n"/>
      <c r="F96" s="58" t="n"/>
      <c r="G96" s="58" t="n"/>
      <c r="H96" s="50" t="n"/>
      <c r="I96" s="50" t="n"/>
      <c r="J96" s="33">
        <f>IF(G96&gt;0,G96*H96,"")</f>
        <v/>
      </c>
      <c r="K96" s="48">
        <f>IF(G96="","",IF(G96=0,"🔴 SIN STOCK",IF(G96&lt;=F96,"🟡 BAJO","🟢 OK")))</f>
        <v/>
      </c>
      <c r="L96" s="49" t="n"/>
      <c r="M96" s="49" t="n"/>
    </row>
    <row r="97" ht="18" customHeight="1">
      <c r="A97" s="42" t="n">
        <v>95</v>
      </c>
      <c r="B97" s="45" t="n"/>
      <c r="C97" s="45" t="n"/>
      <c r="D97" s="45" t="n"/>
      <c r="E97" s="44" t="n"/>
      <c r="F97" s="57" t="n"/>
      <c r="G97" s="57" t="n"/>
      <c r="H97" s="46" t="n"/>
      <c r="I97" s="46" t="n"/>
      <c r="J97" s="30">
        <f>IF(G97&gt;0,G97*H97,"")</f>
        <v/>
      </c>
      <c r="K97" s="44">
        <f>IF(G97="","",IF(G97=0,"🔴 SIN STOCK",IF(G97&lt;=F97,"🟡 BAJO","🟢 OK")))</f>
        <v/>
      </c>
      <c r="L97" s="45" t="n"/>
      <c r="M97" s="45" t="n"/>
    </row>
    <row r="98" ht="18" customHeight="1">
      <c r="A98" s="42" t="n">
        <v>96</v>
      </c>
      <c r="B98" s="49" t="n"/>
      <c r="C98" s="49" t="n"/>
      <c r="D98" s="49" t="n"/>
      <c r="E98" s="48" t="n"/>
      <c r="F98" s="58" t="n"/>
      <c r="G98" s="58" t="n"/>
      <c r="H98" s="50" t="n"/>
      <c r="I98" s="50" t="n"/>
      <c r="J98" s="33">
        <f>IF(G98&gt;0,G98*H98,"")</f>
        <v/>
      </c>
      <c r="K98" s="48">
        <f>IF(G98="","",IF(G98=0,"🔴 SIN STOCK",IF(G98&lt;=F98,"🟡 BAJO","🟢 OK")))</f>
        <v/>
      </c>
      <c r="L98" s="49" t="n"/>
      <c r="M98" s="49" t="n"/>
    </row>
    <row r="99" ht="18" customHeight="1">
      <c r="A99" s="42" t="n">
        <v>97</v>
      </c>
      <c r="B99" s="45" t="n"/>
      <c r="C99" s="45" t="n"/>
      <c r="D99" s="45" t="n"/>
      <c r="E99" s="44" t="n"/>
      <c r="F99" s="57" t="n"/>
      <c r="G99" s="57" t="n"/>
      <c r="H99" s="46" t="n"/>
      <c r="I99" s="46" t="n"/>
      <c r="J99" s="30">
        <f>IF(G99&gt;0,G99*H99,"")</f>
        <v/>
      </c>
      <c r="K99" s="44">
        <f>IF(G99="","",IF(G99=0,"🔴 SIN STOCK",IF(G99&lt;=F99,"🟡 BAJO","🟢 OK")))</f>
        <v/>
      </c>
      <c r="L99" s="45" t="n"/>
      <c r="M99" s="45" t="n"/>
    </row>
    <row r="100" ht="18" customHeight="1">
      <c r="A100" s="42" t="n">
        <v>98</v>
      </c>
      <c r="B100" s="49" t="n"/>
      <c r="C100" s="49" t="n"/>
      <c r="D100" s="49" t="n"/>
      <c r="E100" s="48" t="n"/>
      <c r="F100" s="58" t="n"/>
      <c r="G100" s="58" t="n"/>
      <c r="H100" s="50" t="n"/>
      <c r="I100" s="50" t="n"/>
      <c r="J100" s="33">
        <f>IF(G100&gt;0,G100*H100,"")</f>
        <v/>
      </c>
      <c r="K100" s="48">
        <f>IF(G100="","",IF(G100=0,"🔴 SIN STOCK",IF(G100&lt;=F100,"🟡 BAJO","🟢 OK")))</f>
        <v/>
      </c>
      <c r="L100" s="49" t="n"/>
      <c r="M100" s="49" t="n"/>
    </row>
    <row r="101" ht="18" customHeight="1">
      <c r="A101" s="42" t="n">
        <v>99</v>
      </c>
      <c r="B101" s="45" t="n"/>
      <c r="C101" s="45" t="n"/>
      <c r="D101" s="45" t="n"/>
      <c r="E101" s="44" t="n"/>
      <c r="F101" s="57" t="n"/>
      <c r="G101" s="57" t="n"/>
      <c r="H101" s="46" t="n"/>
      <c r="I101" s="46" t="n"/>
      <c r="J101" s="30">
        <f>IF(G101&gt;0,G101*H101,"")</f>
        <v/>
      </c>
      <c r="K101" s="44">
        <f>IF(G101="","",IF(G101=0,"🔴 SIN STOCK",IF(G101&lt;=F101,"🟡 BAJO","🟢 OK")))</f>
        <v/>
      </c>
      <c r="L101" s="45" t="n"/>
      <c r="M101" s="45" t="n"/>
    </row>
    <row r="102" ht="18" customHeight="1">
      <c r="A102" s="42" t="n">
        <v>100</v>
      </c>
      <c r="B102" s="49" t="n"/>
      <c r="C102" s="49" t="n"/>
      <c r="D102" s="49" t="n"/>
      <c r="E102" s="48" t="n"/>
      <c r="F102" s="58" t="n"/>
      <c r="G102" s="58" t="n"/>
      <c r="H102" s="50" t="n"/>
      <c r="I102" s="50" t="n"/>
      <c r="J102" s="33">
        <f>IF(G102&gt;0,G102*H102,"")</f>
        <v/>
      </c>
      <c r="K102" s="48">
        <f>IF(G102="","",IF(G102=0,"🔴 SIN STOCK",IF(G102&lt;=F102,"🟡 BAJO","🟢 OK")))</f>
        <v/>
      </c>
      <c r="L102" s="49" t="n"/>
      <c r="M102" s="49" t="n"/>
    </row>
    <row r="103" ht="18" customHeight="1">
      <c r="A103" s="42" t="n">
        <v>101</v>
      </c>
      <c r="B103" s="45" t="n"/>
      <c r="C103" s="45" t="n"/>
      <c r="D103" s="45" t="n"/>
      <c r="E103" s="44" t="n"/>
      <c r="F103" s="57" t="n"/>
      <c r="G103" s="57" t="n"/>
      <c r="H103" s="46" t="n"/>
      <c r="I103" s="46" t="n"/>
      <c r="J103" s="30">
        <f>IF(G103&gt;0,G103*H103,"")</f>
        <v/>
      </c>
      <c r="K103" s="44">
        <f>IF(G103="","",IF(G103=0,"🔴 SIN STOCK",IF(G103&lt;=F103,"🟡 BAJO","🟢 OK")))</f>
        <v/>
      </c>
      <c r="L103" s="45" t="n"/>
      <c r="M103" s="45" t="n"/>
    </row>
    <row r="104" ht="18" customHeight="1">
      <c r="A104" s="42" t="n">
        <v>102</v>
      </c>
      <c r="B104" s="49" t="n"/>
      <c r="C104" s="49" t="n"/>
      <c r="D104" s="49" t="n"/>
      <c r="E104" s="48" t="n"/>
      <c r="F104" s="58" t="n"/>
      <c r="G104" s="58" t="n"/>
      <c r="H104" s="50" t="n"/>
      <c r="I104" s="50" t="n"/>
      <c r="J104" s="33">
        <f>IF(G104&gt;0,G104*H104,"")</f>
        <v/>
      </c>
      <c r="K104" s="48">
        <f>IF(G104="","",IF(G104=0,"🔴 SIN STOCK",IF(G104&lt;=F104,"🟡 BAJO","🟢 OK")))</f>
        <v/>
      </c>
      <c r="L104" s="49" t="n"/>
      <c r="M104" s="49" t="n"/>
    </row>
    <row r="105" ht="18" customHeight="1">
      <c r="A105" s="42" t="n">
        <v>103</v>
      </c>
      <c r="B105" s="45" t="n"/>
      <c r="C105" s="45" t="n"/>
      <c r="D105" s="45" t="n"/>
      <c r="E105" s="44" t="n"/>
      <c r="F105" s="57" t="n"/>
      <c r="G105" s="57" t="n"/>
      <c r="H105" s="46" t="n"/>
      <c r="I105" s="46" t="n"/>
      <c r="J105" s="30">
        <f>IF(G105&gt;0,G105*H105,"")</f>
        <v/>
      </c>
      <c r="K105" s="44">
        <f>IF(G105="","",IF(G105=0,"🔴 SIN STOCK",IF(G105&lt;=F105,"🟡 BAJO","🟢 OK")))</f>
        <v/>
      </c>
      <c r="L105" s="45" t="n"/>
      <c r="M105" s="45" t="n"/>
    </row>
    <row r="106" ht="18" customHeight="1">
      <c r="A106" s="42" t="n">
        <v>104</v>
      </c>
      <c r="B106" s="49" t="n"/>
      <c r="C106" s="49" t="n"/>
      <c r="D106" s="49" t="n"/>
      <c r="E106" s="48" t="n"/>
      <c r="F106" s="58" t="n"/>
      <c r="G106" s="58" t="n"/>
      <c r="H106" s="50" t="n"/>
      <c r="I106" s="50" t="n"/>
      <c r="J106" s="33">
        <f>IF(G106&gt;0,G106*H106,"")</f>
        <v/>
      </c>
      <c r="K106" s="48">
        <f>IF(G106="","",IF(G106=0,"🔴 SIN STOCK",IF(G106&lt;=F106,"🟡 BAJO","🟢 OK")))</f>
        <v/>
      </c>
      <c r="L106" s="49" t="n"/>
      <c r="M106" s="49" t="n"/>
    </row>
    <row r="107" ht="18" customHeight="1">
      <c r="A107" s="42" t="n">
        <v>105</v>
      </c>
      <c r="B107" s="45" t="n"/>
      <c r="C107" s="45" t="n"/>
      <c r="D107" s="45" t="n"/>
      <c r="E107" s="44" t="n"/>
      <c r="F107" s="57" t="n"/>
      <c r="G107" s="57" t="n"/>
      <c r="H107" s="46" t="n"/>
      <c r="I107" s="46" t="n"/>
      <c r="J107" s="30">
        <f>IF(G107&gt;0,G107*H107,"")</f>
        <v/>
      </c>
      <c r="K107" s="44">
        <f>IF(G107="","",IF(G107=0,"🔴 SIN STOCK",IF(G107&lt;=F107,"🟡 BAJO","🟢 OK")))</f>
        <v/>
      </c>
      <c r="L107" s="45" t="n"/>
      <c r="M107" s="45" t="n"/>
    </row>
    <row r="108" ht="18" customHeight="1">
      <c r="A108" s="42" t="n">
        <v>106</v>
      </c>
      <c r="B108" s="49" t="n"/>
      <c r="C108" s="49" t="n"/>
      <c r="D108" s="49" t="n"/>
      <c r="E108" s="48" t="n"/>
      <c r="F108" s="58" t="n"/>
      <c r="G108" s="58" t="n"/>
      <c r="H108" s="50" t="n"/>
      <c r="I108" s="50" t="n"/>
      <c r="J108" s="33">
        <f>IF(G108&gt;0,G108*H108,"")</f>
        <v/>
      </c>
      <c r="K108" s="48">
        <f>IF(G108="","",IF(G108=0,"🔴 SIN STOCK",IF(G108&lt;=F108,"🟡 BAJO","🟢 OK")))</f>
        <v/>
      </c>
      <c r="L108" s="49" t="n"/>
      <c r="M108" s="49" t="n"/>
    </row>
    <row r="109" ht="18" customHeight="1">
      <c r="A109" s="42" t="n">
        <v>107</v>
      </c>
      <c r="B109" s="45" t="n"/>
      <c r="C109" s="45" t="n"/>
      <c r="D109" s="45" t="n"/>
      <c r="E109" s="44" t="n"/>
      <c r="F109" s="57" t="n"/>
      <c r="G109" s="57" t="n"/>
      <c r="H109" s="46" t="n"/>
      <c r="I109" s="46" t="n"/>
      <c r="J109" s="30">
        <f>IF(G109&gt;0,G109*H109,"")</f>
        <v/>
      </c>
      <c r="K109" s="44">
        <f>IF(G109="","",IF(G109=0,"🔴 SIN STOCK",IF(G109&lt;=F109,"🟡 BAJO","🟢 OK")))</f>
        <v/>
      </c>
      <c r="L109" s="45" t="n"/>
      <c r="M109" s="45" t="n"/>
    </row>
    <row r="110" ht="18" customHeight="1">
      <c r="A110" s="42" t="n">
        <v>108</v>
      </c>
      <c r="B110" s="49" t="n"/>
      <c r="C110" s="49" t="n"/>
      <c r="D110" s="49" t="n"/>
      <c r="E110" s="48" t="n"/>
      <c r="F110" s="58" t="n"/>
      <c r="G110" s="58" t="n"/>
      <c r="H110" s="50" t="n"/>
      <c r="I110" s="50" t="n"/>
      <c r="J110" s="33">
        <f>IF(G110&gt;0,G110*H110,"")</f>
        <v/>
      </c>
      <c r="K110" s="48">
        <f>IF(G110="","",IF(G110=0,"🔴 SIN STOCK",IF(G110&lt;=F110,"🟡 BAJO","🟢 OK")))</f>
        <v/>
      </c>
      <c r="L110" s="49" t="n"/>
      <c r="M110" s="49" t="n"/>
    </row>
    <row r="111" ht="18" customHeight="1">
      <c r="A111" s="42" t="n">
        <v>109</v>
      </c>
      <c r="B111" s="45" t="n"/>
      <c r="C111" s="45" t="n"/>
      <c r="D111" s="45" t="n"/>
      <c r="E111" s="44" t="n"/>
      <c r="F111" s="57" t="n"/>
      <c r="G111" s="57" t="n"/>
      <c r="H111" s="46" t="n"/>
      <c r="I111" s="46" t="n"/>
      <c r="J111" s="30">
        <f>IF(G111&gt;0,G111*H111,"")</f>
        <v/>
      </c>
      <c r="K111" s="44">
        <f>IF(G111="","",IF(G111=0,"🔴 SIN STOCK",IF(G111&lt;=F111,"🟡 BAJO","🟢 OK")))</f>
        <v/>
      </c>
      <c r="L111" s="45" t="n"/>
      <c r="M111" s="45" t="n"/>
    </row>
    <row r="112" ht="18" customHeight="1">
      <c r="A112" s="42" t="n">
        <v>110</v>
      </c>
      <c r="B112" s="49" t="n"/>
      <c r="C112" s="49" t="n"/>
      <c r="D112" s="49" t="n"/>
      <c r="E112" s="48" t="n"/>
      <c r="F112" s="58" t="n"/>
      <c r="G112" s="58" t="n"/>
      <c r="H112" s="50" t="n"/>
      <c r="I112" s="50" t="n"/>
      <c r="J112" s="33">
        <f>IF(G112&gt;0,G112*H112,"")</f>
        <v/>
      </c>
      <c r="K112" s="48">
        <f>IF(G112="","",IF(G112=0,"🔴 SIN STOCK",IF(G112&lt;=F112,"🟡 BAJO","🟢 OK")))</f>
        <v/>
      </c>
      <c r="L112" s="49" t="n"/>
      <c r="M112" s="49" t="n"/>
    </row>
    <row r="113" ht="18" customHeight="1">
      <c r="A113" s="42" t="n">
        <v>111</v>
      </c>
      <c r="B113" s="45" t="n"/>
      <c r="C113" s="45" t="n"/>
      <c r="D113" s="45" t="n"/>
      <c r="E113" s="44" t="n"/>
      <c r="F113" s="57" t="n"/>
      <c r="G113" s="57" t="n"/>
      <c r="H113" s="46" t="n"/>
      <c r="I113" s="46" t="n"/>
      <c r="J113" s="30">
        <f>IF(G113&gt;0,G113*H113,"")</f>
        <v/>
      </c>
      <c r="K113" s="44">
        <f>IF(G113="","",IF(G113=0,"🔴 SIN STOCK",IF(G113&lt;=F113,"🟡 BAJO","🟢 OK")))</f>
        <v/>
      </c>
      <c r="L113" s="45" t="n"/>
      <c r="M113" s="45" t="n"/>
    </row>
    <row r="114" ht="18" customHeight="1">
      <c r="A114" s="42" t="n">
        <v>112</v>
      </c>
      <c r="B114" s="49" t="n"/>
      <c r="C114" s="49" t="n"/>
      <c r="D114" s="49" t="n"/>
      <c r="E114" s="48" t="n"/>
      <c r="F114" s="58" t="n"/>
      <c r="G114" s="58" t="n"/>
      <c r="H114" s="50" t="n"/>
      <c r="I114" s="50" t="n"/>
      <c r="J114" s="33">
        <f>IF(G114&gt;0,G114*H114,"")</f>
        <v/>
      </c>
      <c r="K114" s="48">
        <f>IF(G114="","",IF(G114=0,"🔴 SIN STOCK",IF(G114&lt;=F114,"🟡 BAJO","🟢 OK")))</f>
        <v/>
      </c>
      <c r="L114" s="49" t="n"/>
      <c r="M114" s="49" t="n"/>
    </row>
    <row r="115" ht="18" customHeight="1">
      <c r="A115" s="42" t="n">
        <v>113</v>
      </c>
      <c r="B115" s="45" t="n"/>
      <c r="C115" s="45" t="n"/>
      <c r="D115" s="45" t="n"/>
      <c r="E115" s="44" t="n"/>
      <c r="F115" s="57" t="n"/>
      <c r="G115" s="57" t="n"/>
      <c r="H115" s="46" t="n"/>
      <c r="I115" s="46" t="n"/>
      <c r="J115" s="30">
        <f>IF(G115&gt;0,G115*H115,"")</f>
        <v/>
      </c>
      <c r="K115" s="44">
        <f>IF(G115="","",IF(G115=0,"🔴 SIN STOCK",IF(G115&lt;=F115,"🟡 BAJO","🟢 OK")))</f>
        <v/>
      </c>
      <c r="L115" s="45" t="n"/>
      <c r="M115" s="45" t="n"/>
    </row>
    <row r="116" ht="18" customHeight="1">
      <c r="A116" s="42" t="n">
        <v>114</v>
      </c>
      <c r="B116" s="49" t="n"/>
      <c r="C116" s="49" t="n"/>
      <c r="D116" s="49" t="n"/>
      <c r="E116" s="48" t="n"/>
      <c r="F116" s="58" t="n"/>
      <c r="G116" s="58" t="n"/>
      <c r="H116" s="50" t="n"/>
      <c r="I116" s="50" t="n"/>
      <c r="J116" s="33">
        <f>IF(G116&gt;0,G116*H116,"")</f>
        <v/>
      </c>
      <c r="K116" s="48">
        <f>IF(G116="","",IF(G116=0,"🔴 SIN STOCK",IF(G116&lt;=F116,"🟡 BAJO","🟢 OK")))</f>
        <v/>
      </c>
      <c r="L116" s="49" t="n"/>
      <c r="M116" s="49" t="n"/>
    </row>
    <row r="117" ht="18" customHeight="1">
      <c r="A117" s="42" t="n">
        <v>115</v>
      </c>
      <c r="B117" s="45" t="n"/>
      <c r="C117" s="45" t="n"/>
      <c r="D117" s="45" t="n"/>
      <c r="E117" s="44" t="n"/>
      <c r="F117" s="57" t="n"/>
      <c r="G117" s="57" t="n"/>
      <c r="H117" s="46" t="n"/>
      <c r="I117" s="46" t="n"/>
      <c r="J117" s="30">
        <f>IF(G117&gt;0,G117*H117,"")</f>
        <v/>
      </c>
      <c r="K117" s="44">
        <f>IF(G117="","",IF(G117=0,"🔴 SIN STOCK",IF(G117&lt;=F117,"🟡 BAJO","🟢 OK")))</f>
        <v/>
      </c>
      <c r="L117" s="45" t="n"/>
      <c r="M117" s="45" t="n"/>
    </row>
    <row r="118" ht="18" customHeight="1">
      <c r="A118" s="42" t="n">
        <v>116</v>
      </c>
      <c r="B118" s="49" t="n"/>
      <c r="C118" s="49" t="n"/>
      <c r="D118" s="49" t="n"/>
      <c r="E118" s="48" t="n"/>
      <c r="F118" s="58" t="n"/>
      <c r="G118" s="58" t="n"/>
      <c r="H118" s="50" t="n"/>
      <c r="I118" s="50" t="n"/>
      <c r="J118" s="33">
        <f>IF(G118&gt;0,G118*H118,"")</f>
        <v/>
      </c>
      <c r="K118" s="48">
        <f>IF(G118="","",IF(G118=0,"🔴 SIN STOCK",IF(G118&lt;=F118,"🟡 BAJO","🟢 OK")))</f>
        <v/>
      </c>
      <c r="L118" s="49" t="n"/>
      <c r="M118" s="49" t="n"/>
    </row>
    <row r="119" ht="18" customHeight="1">
      <c r="A119" s="42" t="n">
        <v>117</v>
      </c>
      <c r="B119" s="45" t="n"/>
      <c r="C119" s="45" t="n"/>
      <c r="D119" s="45" t="n"/>
      <c r="E119" s="44" t="n"/>
      <c r="F119" s="57" t="n"/>
      <c r="G119" s="57" t="n"/>
      <c r="H119" s="46" t="n"/>
      <c r="I119" s="46" t="n"/>
      <c r="J119" s="30">
        <f>IF(G119&gt;0,G119*H119,"")</f>
        <v/>
      </c>
      <c r="K119" s="44">
        <f>IF(G119="","",IF(G119=0,"🔴 SIN STOCK",IF(G119&lt;=F119,"🟡 BAJO","🟢 OK")))</f>
        <v/>
      </c>
      <c r="L119" s="45" t="n"/>
      <c r="M119" s="45" t="n"/>
    </row>
    <row r="120" ht="18" customHeight="1">
      <c r="A120" s="42" t="n">
        <v>118</v>
      </c>
      <c r="B120" s="49" t="n"/>
      <c r="C120" s="49" t="n"/>
      <c r="D120" s="49" t="n"/>
      <c r="E120" s="48" t="n"/>
      <c r="F120" s="58" t="n"/>
      <c r="G120" s="58" t="n"/>
      <c r="H120" s="50" t="n"/>
      <c r="I120" s="50" t="n"/>
      <c r="J120" s="33">
        <f>IF(G120&gt;0,G120*H120,"")</f>
        <v/>
      </c>
      <c r="K120" s="48">
        <f>IF(G120="","",IF(G120=0,"🔴 SIN STOCK",IF(G120&lt;=F120,"🟡 BAJO","🟢 OK")))</f>
        <v/>
      </c>
      <c r="L120" s="49" t="n"/>
      <c r="M120" s="49" t="n"/>
    </row>
    <row r="121" ht="18" customHeight="1">
      <c r="A121" s="42" t="n">
        <v>119</v>
      </c>
      <c r="B121" s="45" t="n"/>
      <c r="C121" s="45" t="n"/>
      <c r="D121" s="45" t="n"/>
      <c r="E121" s="44" t="n"/>
      <c r="F121" s="57" t="n"/>
      <c r="G121" s="57" t="n"/>
      <c r="H121" s="46" t="n"/>
      <c r="I121" s="46" t="n"/>
      <c r="J121" s="30">
        <f>IF(G121&gt;0,G121*H121,"")</f>
        <v/>
      </c>
      <c r="K121" s="44">
        <f>IF(G121="","",IF(G121=0,"🔴 SIN STOCK",IF(G121&lt;=F121,"🟡 BAJO","🟢 OK")))</f>
        <v/>
      </c>
      <c r="L121" s="45" t="n"/>
      <c r="M121" s="45" t="n"/>
    </row>
    <row r="122" ht="18" customHeight="1">
      <c r="A122" s="42" t="n">
        <v>120</v>
      </c>
      <c r="B122" s="49" t="n"/>
      <c r="C122" s="49" t="n"/>
      <c r="D122" s="49" t="n"/>
      <c r="E122" s="48" t="n"/>
      <c r="F122" s="58" t="n"/>
      <c r="G122" s="58" t="n"/>
      <c r="H122" s="50" t="n"/>
      <c r="I122" s="50" t="n"/>
      <c r="J122" s="33">
        <f>IF(G122&gt;0,G122*H122,"")</f>
        <v/>
      </c>
      <c r="K122" s="48">
        <f>IF(G122="","",IF(G122=0,"🔴 SIN STOCK",IF(G122&lt;=F122,"🟡 BAJO","🟢 OK")))</f>
        <v/>
      </c>
      <c r="L122" s="49" t="n"/>
      <c r="M122" s="49" t="n"/>
    </row>
    <row r="123" ht="18" customHeight="1">
      <c r="A123" s="42" t="n">
        <v>121</v>
      </c>
      <c r="B123" s="45" t="n"/>
      <c r="C123" s="45" t="n"/>
      <c r="D123" s="45" t="n"/>
      <c r="E123" s="44" t="n"/>
      <c r="F123" s="57" t="n"/>
      <c r="G123" s="57" t="n"/>
      <c r="H123" s="46" t="n"/>
      <c r="I123" s="46" t="n"/>
      <c r="J123" s="30">
        <f>IF(G123&gt;0,G123*H123,"")</f>
        <v/>
      </c>
      <c r="K123" s="44">
        <f>IF(G123="","",IF(G123=0,"🔴 SIN STOCK",IF(G123&lt;=F123,"🟡 BAJO","🟢 OK")))</f>
        <v/>
      </c>
      <c r="L123" s="45" t="n"/>
      <c r="M123" s="45" t="n"/>
    </row>
    <row r="124" ht="18" customHeight="1">
      <c r="A124" s="42" t="n">
        <v>122</v>
      </c>
      <c r="B124" s="49" t="n"/>
      <c r="C124" s="49" t="n"/>
      <c r="D124" s="49" t="n"/>
      <c r="E124" s="48" t="n"/>
      <c r="F124" s="58" t="n"/>
      <c r="G124" s="58" t="n"/>
      <c r="H124" s="50" t="n"/>
      <c r="I124" s="50" t="n"/>
      <c r="J124" s="33">
        <f>IF(G124&gt;0,G124*H124,"")</f>
        <v/>
      </c>
      <c r="K124" s="48">
        <f>IF(G124="","",IF(G124=0,"🔴 SIN STOCK",IF(G124&lt;=F124,"🟡 BAJO","🟢 OK")))</f>
        <v/>
      </c>
      <c r="L124" s="49" t="n"/>
      <c r="M124" s="49" t="n"/>
    </row>
    <row r="125" ht="18" customHeight="1">
      <c r="A125" s="42" t="n">
        <v>123</v>
      </c>
      <c r="B125" s="45" t="n"/>
      <c r="C125" s="45" t="n"/>
      <c r="D125" s="45" t="n"/>
      <c r="E125" s="44" t="n"/>
      <c r="F125" s="57" t="n"/>
      <c r="G125" s="57" t="n"/>
      <c r="H125" s="46" t="n"/>
      <c r="I125" s="46" t="n"/>
      <c r="J125" s="30">
        <f>IF(G125&gt;0,G125*H125,"")</f>
        <v/>
      </c>
      <c r="K125" s="44">
        <f>IF(G125="","",IF(G125=0,"🔴 SIN STOCK",IF(G125&lt;=F125,"🟡 BAJO","🟢 OK")))</f>
        <v/>
      </c>
      <c r="L125" s="45" t="n"/>
      <c r="M125" s="45" t="n"/>
    </row>
    <row r="126" ht="18" customHeight="1">
      <c r="A126" s="42" t="n">
        <v>124</v>
      </c>
      <c r="B126" s="49" t="n"/>
      <c r="C126" s="49" t="n"/>
      <c r="D126" s="49" t="n"/>
      <c r="E126" s="48" t="n"/>
      <c r="F126" s="58" t="n"/>
      <c r="G126" s="58" t="n"/>
      <c r="H126" s="50" t="n"/>
      <c r="I126" s="50" t="n"/>
      <c r="J126" s="33">
        <f>IF(G126&gt;0,G126*H126,"")</f>
        <v/>
      </c>
      <c r="K126" s="48">
        <f>IF(G126="","",IF(G126=0,"🔴 SIN STOCK",IF(G126&lt;=F126,"🟡 BAJO","🟢 OK")))</f>
        <v/>
      </c>
      <c r="L126" s="49" t="n"/>
      <c r="M126" s="49" t="n"/>
    </row>
    <row r="127" ht="18" customHeight="1">
      <c r="A127" s="42" t="n">
        <v>125</v>
      </c>
      <c r="B127" s="45" t="n"/>
      <c r="C127" s="45" t="n"/>
      <c r="D127" s="45" t="n"/>
      <c r="E127" s="44" t="n"/>
      <c r="F127" s="57" t="n"/>
      <c r="G127" s="57" t="n"/>
      <c r="H127" s="46" t="n"/>
      <c r="I127" s="46" t="n"/>
      <c r="J127" s="30">
        <f>IF(G127&gt;0,G127*H127,"")</f>
        <v/>
      </c>
      <c r="K127" s="44">
        <f>IF(G127="","",IF(G127=0,"🔴 SIN STOCK",IF(G127&lt;=F127,"🟡 BAJO","🟢 OK")))</f>
        <v/>
      </c>
      <c r="L127" s="45" t="n"/>
      <c r="M127" s="45" t="n"/>
    </row>
    <row r="128" ht="18" customHeight="1">
      <c r="A128" s="42" t="n">
        <v>126</v>
      </c>
      <c r="B128" s="49" t="n"/>
      <c r="C128" s="49" t="n"/>
      <c r="D128" s="49" t="n"/>
      <c r="E128" s="48" t="n"/>
      <c r="F128" s="58" t="n"/>
      <c r="G128" s="58" t="n"/>
      <c r="H128" s="50" t="n"/>
      <c r="I128" s="50" t="n"/>
      <c r="J128" s="33">
        <f>IF(G128&gt;0,G128*H128,"")</f>
        <v/>
      </c>
      <c r="K128" s="48">
        <f>IF(G128="","",IF(G128=0,"🔴 SIN STOCK",IF(G128&lt;=F128,"🟡 BAJO","🟢 OK")))</f>
        <v/>
      </c>
      <c r="L128" s="49" t="n"/>
      <c r="M128" s="49" t="n"/>
    </row>
    <row r="129" ht="18" customHeight="1">
      <c r="A129" s="42" t="n">
        <v>127</v>
      </c>
      <c r="B129" s="45" t="n"/>
      <c r="C129" s="45" t="n"/>
      <c r="D129" s="45" t="n"/>
      <c r="E129" s="44" t="n"/>
      <c r="F129" s="57" t="n"/>
      <c r="G129" s="57" t="n"/>
      <c r="H129" s="46" t="n"/>
      <c r="I129" s="46" t="n"/>
      <c r="J129" s="30">
        <f>IF(G129&gt;0,G129*H129,"")</f>
        <v/>
      </c>
      <c r="K129" s="44">
        <f>IF(G129="","",IF(G129=0,"🔴 SIN STOCK",IF(G129&lt;=F129,"🟡 BAJO","🟢 OK")))</f>
        <v/>
      </c>
      <c r="L129" s="45" t="n"/>
      <c r="M129" s="45" t="n"/>
    </row>
    <row r="130" ht="18" customHeight="1">
      <c r="A130" s="42" t="n">
        <v>128</v>
      </c>
      <c r="B130" s="49" t="n"/>
      <c r="C130" s="49" t="n"/>
      <c r="D130" s="49" t="n"/>
      <c r="E130" s="48" t="n"/>
      <c r="F130" s="58" t="n"/>
      <c r="G130" s="58" t="n"/>
      <c r="H130" s="50" t="n"/>
      <c r="I130" s="50" t="n"/>
      <c r="J130" s="33">
        <f>IF(G130&gt;0,G130*H130,"")</f>
        <v/>
      </c>
      <c r="K130" s="48">
        <f>IF(G130="","",IF(G130=0,"🔴 SIN STOCK",IF(G130&lt;=F130,"🟡 BAJO","🟢 OK")))</f>
        <v/>
      </c>
      <c r="L130" s="49" t="n"/>
      <c r="M130" s="49" t="n"/>
    </row>
    <row r="131" ht="18" customHeight="1">
      <c r="A131" s="42" t="n">
        <v>129</v>
      </c>
      <c r="B131" s="45" t="n"/>
      <c r="C131" s="45" t="n"/>
      <c r="D131" s="45" t="n"/>
      <c r="E131" s="44" t="n"/>
      <c r="F131" s="57" t="n"/>
      <c r="G131" s="57" t="n"/>
      <c r="H131" s="46" t="n"/>
      <c r="I131" s="46" t="n"/>
      <c r="J131" s="30">
        <f>IF(G131&gt;0,G131*H131,"")</f>
        <v/>
      </c>
      <c r="K131" s="44">
        <f>IF(G131="","",IF(G131=0,"🔴 SIN STOCK",IF(G131&lt;=F131,"🟡 BAJO","🟢 OK")))</f>
        <v/>
      </c>
      <c r="L131" s="45" t="n"/>
      <c r="M131" s="45" t="n"/>
    </row>
    <row r="132" ht="18" customHeight="1">
      <c r="A132" s="42" t="n">
        <v>130</v>
      </c>
      <c r="B132" s="49" t="n"/>
      <c r="C132" s="49" t="n"/>
      <c r="D132" s="49" t="n"/>
      <c r="E132" s="48" t="n"/>
      <c r="F132" s="58" t="n"/>
      <c r="G132" s="58" t="n"/>
      <c r="H132" s="50" t="n"/>
      <c r="I132" s="50" t="n"/>
      <c r="J132" s="33">
        <f>IF(G132&gt;0,G132*H132,"")</f>
        <v/>
      </c>
      <c r="K132" s="48">
        <f>IF(G132="","",IF(G132=0,"🔴 SIN STOCK",IF(G132&lt;=F132,"🟡 BAJO","🟢 OK")))</f>
        <v/>
      </c>
      <c r="L132" s="49" t="n"/>
      <c r="M132" s="49" t="n"/>
    </row>
    <row r="133" ht="18" customHeight="1">
      <c r="A133" s="42" t="n">
        <v>131</v>
      </c>
      <c r="B133" s="45" t="n"/>
      <c r="C133" s="45" t="n"/>
      <c r="D133" s="45" t="n"/>
      <c r="E133" s="44" t="n"/>
      <c r="F133" s="57" t="n"/>
      <c r="G133" s="57" t="n"/>
      <c r="H133" s="46" t="n"/>
      <c r="I133" s="46" t="n"/>
      <c r="J133" s="30">
        <f>IF(G133&gt;0,G133*H133,"")</f>
        <v/>
      </c>
      <c r="K133" s="44">
        <f>IF(G133="","",IF(G133=0,"🔴 SIN STOCK",IF(G133&lt;=F133,"🟡 BAJO","🟢 OK")))</f>
        <v/>
      </c>
      <c r="L133" s="45" t="n"/>
      <c r="M133" s="45" t="n"/>
    </row>
    <row r="134" ht="18" customHeight="1">
      <c r="A134" s="42" t="n">
        <v>132</v>
      </c>
      <c r="B134" s="49" t="n"/>
      <c r="C134" s="49" t="n"/>
      <c r="D134" s="49" t="n"/>
      <c r="E134" s="48" t="n"/>
      <c r="F134" s="58" t="n"/>
      <c r="G134" s="58" t="n"/>
      <c r="H134" s="50" t="n"/>
      <c r="I134" s="50" t="n"/>
      <c r="J134" s="33">
        <f>IF(G134&gt;0,G134*H134,"")</f>
        <v/>
      </c>
      <c r="K134" s="48">
        <f>IF(G134="","",IF(G134=0,"🔴 SIN STOCK",IF(G134&lt;=F134,"🟡 BAJO","🟢 OK")))</f>
        <v/>
      </c>
      <c r="L134" s="49" t="n"/>
      <c r="M134" s="49" t="n"/>
    </row>
    <row r="135" ht="18" customHeight="1">
      <c r="A135" s="42" t="n">
        <v>133</v>
      </c>
      <c r="B135" s="45" t="n"/>
      <c r="C135" s="45" t="n"/>
      <c r="D135" s="45" t="n"/>
      <c r="E135" s="44" t="n"/>
      <c r="F135" s="57" t="n"/>
      <c r="G135" s="57" t="n"/>
      <c r="H135" s="46" t="n"/>
      <c r="I135" s="46" t="n"/>
      <c r="J135" s="30">
        <f>IF(G135&gt;0,G135*H135,"")</f>
        <v/>
      </c>
      <c r="K135" s="44">
        <f>IF(G135="","",IF(G135=0,"🔴 SIN STOCK",IF(G135&lt;=F135,"🟡 BAJO","🟢 OK")))</f>
        <v/>
      </c>
      <c r="L135" s="45" t="n"/>
      <c r="M135" s="45" t="n"/>
    </row>
    <row r="136" ht="18" customHeight="1">
      <c r="A136" s="42" t="n">
        <v>134</v>
      </c>
      <c r="B136" s="49" t="n"/>
      <c r="C136" s="49" t="n"/>
      <c r="D136" s="49" t="n"/>
      <c r="E136" s="48" t="n"/>
      <c r="F136" s="58" t="n"/>
      <c r="G136" s="58" t="n"/>
      <c r="H136" s="50" t="n"/>
      <c r="I136" s="50" t="n"/>
      <c r="J136" s="33">
        <f>IF(G136&gt;0,G136*H136,"")</f>
        <v/>
      </c>
      <c r="K136" s="48">
        <f>IF(G136="","",IF(G136=0,"🔴 SIN STOCK",IF(G136&lt;=F136,"🟡 BAJO","🟢 OK")))</f>
        <v/>
      </c>
      <c r="L136" s="49" t="n"/>
      <c r="M136" s="49" t="n"/>
    </row>
    <row r="137" ht="18" customHeight="1">
      <c r="A137" s="42" t="n">
        <v>135</v>
      </c>
      <c r="B137" s="45" t="n"/>
      <c r="C137" s="45" t="n"/>
      <c r="D137" s="45" t="n"/>
      <c r="E137" s="44" t="n"/>
      <c r="F137" s="57" t="n"/>
      <c r="G137" s="57" t="n"/>
      <c r="H137" s="46" t="n"/>
      <c r="I137" s="46" t="n"/>
      <c r="J137" s="30">
        <f>IF(G137&gt;0,G137*H137,"")</f>
        <v/>
      </c>
      <c r="K137" s="44">
        <f>IF(G137="","",IF(G137=0,"🔴 SIN STOCK",IF(G137&lt;=F137,"🟡 BAJO","🟢 OK")))</f>
        <v/>
      </c>
      <c r="L137" s="45" t="n"/>
      <c r="M137" s="45" t="n"/>
    </row>
    <row r="138" ht="18" customHeight="1">
      <c r="A138" s="42" t="n">
        <v>136</v>
      </c>
      <c r="B138" s="49" t="n"/>
      <c r="C138" s="49" t="n"/>
      <c r="D138" s="49" t="n"/>
      <c r="E138" s="48" t="n"/>
      <c r="F138" s="58" t="n"/>
      <c r="G138" s="58" t="n"/>
      <c r="H138" s="50" t="n"/>
      <c r="I138" s="50" t="n"/>
      <c r="J138" s="33">
        <f>IF(G138&gt;0,G138*H138,"")</f>
        <v/>
      </c>
      <c r="K138" s="48">
        <f>IF(G138="","",IF(G138=0,"🔴 SIN STOCK",IF(G138&lt;=F138,"🟡 BAJO","🟢 OK")))</f>
        <v/>
      </c>
      <c r="L138" s="49" t="n"/>
      <c r="M138" s="49" t="n"/>
    </row>
    <row r="139" ht="18" customHeight="1">
      <c r="A139" s="42" t="n">
        <v>137</v>
      </c>
      <c r="B139" s="45" t="n"/>
      <c r="C139" s="45" t="n"/>
      <c r="D139" s="45" t="n"/>
      <c r="E139" s="44" t="n"/>
      <c r="F139" s="57" t="n"/>
      <c r="G139" s="57" t="n"/>
      <c r="H139" s="46" t="n"/>
      <c r="I139" s="46" t="n"/>
      <c r="J139" s="30">
        <f>IF(G139&gt;0,G139*H139,"")</f>
        <v/>
      </c>
      <c r="K139" s="44">
        <f>IF(G139="","",IF(G139=0,"🔴 SIN STOCK",IF(G139&lt;=F139,"🟡 BAJO","🟢 OK")))</f>
        <v/>
      </c>
      <c r="L139" s="45" t="n"/>
      <c r="M139" s="45" t="n"/>
    </row>
    <row r="140" ht="18" customHeight="1">
      <c r="A140" s="42" t="n">
        <v>138</v>
      </c>
      <c r="B140" s="49" t="n"/>
      <c r="C140" s="49" t="n"/>
      <c r="D140" s="49" t="n"/>
      <c r="E140" s="48" t="n"/>
      <c r="F140" s="58" t="n"/>
      <c r="G140" s="58" t="n"/>
      <c r="H140" s="50" t="n"/>
      <c r="I140" s="50" t="n"/>
      <c r="J140" s="33">
        <f>IF(G140&gt;0,G140*H140,"")</f>
        <v/>
      </c>
      <c r="K140" s="48">
        <f>IF(G140="","",IF(G140=0,"🔴 SIN STOCK",IF(G140&lt;=F140,"🟡 BAJO","🟢 OK")))</f>
        <v/>
      </c>
      <c r="L140" s="49" t="n"/>
      <c r="M140" s="49" t="n"/>
    </row>
    <row r="141" ht="18" customHeight="1">
      <c r="A141" s="42" t="n">
        <v>139</v>
      </c>
      <c r="B141" s="45" t="n"/>
      <c r="C141" s="45" t="n"/>
      <c r="D141" s="45" t="n"/>
      <c r="E141" s="44" t="n"/>
      <c r="F141" s="57" t="n"/>
      <c r="G141" s="57" t="n"/>
      <c r="H141" s="46" t="n"/>
      <c r="I141" s="46" t="n"/>
      <c r="J141" s="30">
        <f>IF(G141&gt;0,G141*H141,"")</f>
        <v/>
      </c>
      <c r="K141" s="44">
        <f>IF(G141="","",IF(G141=0,"🔴 SIN STOCK",IF(G141&lt;=F141,"🟡 BAJO","🟢 OK")))</f>
        <v/>
      </c>
      <c r="L141" s="45" t="n"/>
      <c r="M141" s="45" t="n"/>
    </row>
    <row r="142" ht="18" customHeight="1">
      <c r="A142" s="42" t="n">
        <v>140</v>
      </c>
      <c r="B142" s="49" t="n"/>
      <c r="C142" s="49" t="n"/>
      <c r="D142" s="49" t="n"/>
      <c r="E142" s="48" t="n"/>
      <c r="F142" s="58" t="n"/>
      <c r="G142" s="58" t="n"/>
      <c r="H142" s="50" t="n"/>
      <c r="I142" s="50" t="n"/>
      <c r="J142" s="33">
        <f>IF(G142&gt;0,G142*H142,"")</f>
        <v/>
      </c>
      <c r="K142" s="48">
        <f>IF(G142="","",IF(G142=0,"🔴 SIN STOCK",IF(G142&lt;=F142,"🟡 BAJO","🟢 OK")))</f>
        <v/>
      </c>
      <c r="L142" s="49" t="n"/>
      <c r="M142" s="49" t="n"/>
    </row>
    <row r="143" ht="18" customHeight="1">
      <c r="A143" s="42" t="n">
        <v>141</v>
      </c>
      <c r="B143" s="45" t="n"/>
      <c r="C143" s="45" t="n"/>
      <c r="D143" s="45" t="n"/>
      <c r="E143" s="44" t="n"/>
      <c r="F143" s="57" t="n"/>
      <c r="G143" s="57" t="n"/>
      <c r="H143" s="46" t="n"/>
      <c r="I143" s="46" t="n"/>
      <c r="J143" s="30">
        <f>IF(G143&gt;0,G143*H143,"")</f>
        <v/>
      </c>
      <c r="K143" s="44">
        <f>IF(G143="","",IF(G143=0,"🔴 SIN STOCK",IF(G143&lt;=F143,"🟡 BAJO","🟢 OK")))</f>
        <v/>
      </c>
      <c r="L143" s="45" t="n"/>
      <c r="M143" s="45" t="n"/>
    </row>
    <row r="144" ht="18" customHeight="1">
      <c r="A144" s="42" t="n">
        <v>142</v>
      </c>
      <c r="B144" s="49" t="n"/>
      <c r="C144" s="49" t="n"/>
      <c r="D144" s="49" t="n"/>
      <c r="E144" s="48" t="n"/>
      <c r="F144" s="58" t="n"/>
      <c r="G144" s="58" t="n"/>
      <c r="H144" s="50" t="n"/>
      <c r="I144" s="50" t="n"/>
      <c r="J144" s="33">
        <f>IF(G144&gt;0,G144*H144,"")</f>
        <v/>
      </c>
      <c r="K144" s="48">
        <f>IF(G144="","",IF(G144=0,"🔴 SIN STOCK",IF(G144&lt;=F144,"🟡 BAJO","🟢 OK")))</f>
        <v/>
      </c>
      <c r="L144" s="49" t="n"/>
      <c r="M144" s="49" t="n"/>
    </row>
    <row r="145" ht="18" customHeight="1">
      <c r="A145" s="42" t="n">
        <v>143</v>
      </c>
      <c r="B145" s="45" t="n"/>
      <c r="C145" s="45" t="n"/>
      <c r="D145" s="45" t="n"/>
      <c r="E145" s="44" t="n"/>
      <c r="F145" s="57" t="n"/>
      <c r="G145" s="57" t="n"/>
      <c r="H145" s="46" t="n"/>
      <c r="I145" s="46" t="n"/>
      <c r="J145" s="30">
        <f>IF(G145&gt;0,G145*H145,"")</f>
        <v/>
      </c>
      <c r="K145" s="44">
        <f>IF(G145="","",IF(G145=0,"🔴 SIN STOCK",IF(G145&lt;=F145,"🟡 BAJO","🟢 OK")))</f>
        <v/>
      </c>
      <c r="L145" s="45" t="n"/>
      <c r="M145" s="45" t="n"/>
    </row>
    <row r="146" ht="18" customHeight="1">
      <c r="A146" s="42" t="n">
        <v>144</v>
      </c>
      <c r="B146" s="49" t="n"/>
      <c r="C146" s="49" t="n"/>
      <c r="D146" s="49" t="n"/>
      <c r="E146" s="48" t="n"/>
      <c r="F146" s="58" t="n"/>
      <c r="G146" s="58" t="n"/>
      <c r="H146" s="50" t="n"/>
      <c r="I146" s="50" t="n"/>
      <c r="J146" s="33">
        <f>IF(G146&gt;0,G146*H146,"")</f>
        <v/>
      </c>
      <c r="K146" s="48">
        <f>IF(G146="","",IF(G146=0,"🔴 SIN STOCK",IF(G146&lt;=F146,"🟡 BAJO","🟢 OK")))</f>
        <v/>
      </c>
      <c r="L146" s="49" t="n"/>
      <c r="M146" s="49" t="n"/>
    </row>
    <row r="147" ht="18" customHeight="1">
      <c r="A147" s="42" t="n">
        <v>145</v>
      </c>
      <c r="B147" s="45" t="n"/>
      <c r="C147" s="45" t="n"/>
      <c r="D147" s="45" t="n"/>
      <c r="E147" s="44" t="n"/>
      <c r="F147" s="57" t="n"/>
      <c r="G147" s="57" t="n"/>
      <c r="H147" s="46" t="n"/>
      <c r="I147" s="46" t="n"/>
      <c r="J147" s="30">
        <f>IF(G147&gt;0,G147*H147,"")</f>
        <v/>
      </c>
      <c r="K147" s="44">
        <f>IF(G147="","",IF(G147=0,"🔴 SIN STOCK",IF(G147&lt;=F147,"🟡 BAJO","🟢 OK")))</f>
        <v/>
      </c>
      <c r="L147" s="45" t="n"/>
      <c r="M147" s="45" t="n"/>
    </row>
    <row r="148" ht="18" customHeight="1">
      <c r="A148" s="42" t="n">
        <v>146</v>
      </c>
      <c r="B148" s="49" t="n"/>
      <c r="C148" s="49" t="n"/>
      <c r="D148" s="49" t="n"/>
      <c r="E148" s="48" t="n"/>
      <c r="F148" s="58" t="n"/>
      <c r="G148" s="58" t="n"/>
      <c r="H148" s="50" t="n"/>
      <c r="I148" s="50" t="n"/>
      <c r="J148" s="33">
        <f>IF(G148&gt;0,G148*H148,"")</f>
        <v/>
      </c>
      <c r="K148" s="48">
        <f>IF(G148="","",IF(G148=0,"🔴 SIN STOCK",IF(G148&lt;=F148,"🟡 BAJO","🟢 OK")))</f>
        <v/>
      </c>
      <c r="L148" s="49" t="n"/>
      <c r="M148" s="49" t="n"/>
    </row>
    <row r="149" ht="18" customHeight="1">
      <c r="A149" s="42" t="n">
        <v>147</v>
      </c>
      <c r="B149" s="45" t="n"/>
      <c r="C149" s="45" t="n"/>
      <c r="D149" s="45" t="n"/>
      <c r="E149" s="44" t="n"/>
      <c r="F149" s="57" t="n"/>
      <c r="G149" s="57" t="n"/>
      <c r="H149" s="46" t="n"/>
      <c r="I149" s="46" t="n"/>
      <c r="J149" s="30">
        <f>IF(G149&gt;0,G149*H149,"")</f>
        <v/>
      </c>
      <c r="K149" s="44">
        <f>IF(G149="","",IF(G149=0,"🔴 SIN STOCK",IF(G149&lt;=F149,"🟡 BAJO","🟢 OK")))</f>
        <v/>
      </c>
      <c r="L149" s="45" t="n"/>
      <c r="M149" s="45" t="n"/>
    </row>
    <row r="150" ht="18" customHeight="1">
      <c r="A150" s="42" t="n">
        <v>148</v>
      </c>
      <c r="B150" s="49" t="n"/>
      <c r="C150" s="49" t="n"/>
      <c r="D150" s="49" t="n"/>
      <c r="E150" s="48" t="n"/>
      <c r="F150" s="58" t="n"/>
      <c r="G150" s="58" t="n"/>
      <c r="H150" s="50" t="n"/>
      <c r="I150" s="50" t="n"/>
      <c r="J150" s="33">
        <f>IF(G150&gt;0,G150*H150,"")</f>
        <v/>
      </c>
      <c r="K150" s="48">
        <f>IF(G150="","",IF(G150=0,"🔴 SIN STOCK",IF(G150&lt;=F150,"🟡 BAJO","🟢 OK")))</f>
        <v/>
      </c>
      <c r="L150" s="49" t="n"/>
      <c r="M150" s="49" t="n"/>
    </row>
    <row r="151" ht="18" customHeight="1">
      <c r="A151" s="42" t="n">
        <v>149</v>
      </c>
      <c r="B151" s="45" t="n"/>
      <c r="C151" s="45" t="n"/>
      <c r="D151" s="45" t="n"/>
      <c r="E151" s="44" t="n"/>
      <c r="F151" s="57" t="n"/>
      <c r="G151" s="57" t="n"/>
      <c r="H151" s="46" t="n"/>
      <c r="I151" s="46" t="n"/>
      <c r="J151" s="30">
        <f>IF(G151&gt;0,G151*H151,"")</f>
        <v/>
      </c>
      <c r="K151" s="44">
        <f>IF(G151="","",IF(G151=0,"🔴 SIN STOCK",IF(G151&lt;=F151,"🟡 BAJO","🟢 OK")))</f>
        <v/>
      </c>
      <c r="L151" s="45" t="n"/>
      <c r="M151" s="45" t="n"/>
    </row>
    <row r="152" ht="18" customHeight="1">
      <c r="A152" s="42" t="n">
        <v>150</v>
      </c>
      <c r="B152" s="49" t="n"/>
      <c r="C152" s="49" t="n"/>
      <c r="D152" s="49" t="n"/>
      <c r="E152" s="48" t="n"/>
      <c r="F152" s="58" t="n"/>
      <c r="G152" s="58" t="n"/>
      <c r="H152" s="50" t="n"/>
      <c r="I152" s="50" t="n"/>
      <c r="J152" s="33">
        <f>IF(G152&gt;0,G152*H152,"")</f>
        <v/>
      </c>
      <c r="K152" s="48">
        <f>IF(G152="","",IF(G152=0,"🔴 SIN STOCK",IF(G152&lt;=F152,"🟡 BAJO","🟢 OK")))</f>
        <v/>
      </c>
      <c r="L152" s="49" t="n"/>
      <c r="M152" s="49" t="n"/>
    </row>
    <row r="153" ht="18" customHeight="1">
      <c r="A153" s="42" t="n">
        <v>151</v>
      </c>
      <c r="B153" s="45" t="n"/>
      <c r="C153" s="45" t="n"/>
      <c r="D153" s="45" t="n"/>
      <c r="E153" s="44" t="n"/>
      <c r="F153" s="57" t="n"/>
      <c r="G153" s="57" t="n"/>
      <c r="H153" s="46" t="n"/>
      <c r="I153" s="46" t="n"/>
      <c r="J153" s="30">
        <f>IF(G153&gt;0,G153*H153,"")</f>
        <v/>
      </c>
      <c r="K153" s="44">
        <f>IF(G153="","",IF(G153=0,"🔴 SIN STOCK",IF(G153&lt;=F153,"🟡 BAJO","🟢 OK")))</f>
        <v/>
      </c>
      <c r="L153" s="45" t="n"/>
      <c r="M153" s="45" t="n"/>
    </row>
    <row r="154" ht="18" customHeight="1">
      <c r="A154" s="42" t="n">
        <v>152</v>
      </c>
      <c r="B154" s="49" t="n"/>
      <c r="C154" s="49" t="n"/>
      <c r="D154" s="49" t="n"/>
      <c r="E154" s="48" t="n"/>
      <c r="F154" s="58" t="n"/>
      <c r="G154" s="58" t="n"/>
      <c r="H154" s="50" t="n"/>
      <c r="I154" s="50" t="n"/>
      <c r="J154" s="33">
        <f>IF(G154&gt;0,G154*H154,"")</f>
        <v/>
      </c>
      <c r="K154" s="48">
        <f>IF(G154="","",IF(G154=0,"🔴 SIN STOCK",IF(G154&lt;=F154,"🟡 BAJO","🟢 OK")))</f>
        <v/>
      </c>
      <c r="L154" s="49" t="n"/>
      <c r="M154" s="49" t="n"/>
    </row>
    <row r="155" ht="18" customHeight="1">
      <c r="A155" s="42" t="n">
        <v>153</v>
      </c>
      <c r="B155" s="45" t="n"/>
      <c r="C155" s="45" t="n"/>
      <c r="D155" s="45" t="n"/>
      <c r="E155" s="44" t="n"/>
      <c r="F155" s="57" t="n"/>
      <c r="G155" s="57" t="n"/>
      <c r="H155" s="46" t="n"/>
      <c r="I155" s="46" t="n"/>
      <c r="J155" s="30">
        <f>IF(G155&gt;0,G155*H155,"")</f>
        <v/>
      </c>
      <c r="K155" s="44">
        <f>IF(G155="","",IF(G155=0,"🔴 SIN STOCK",IF(G155&lt;=F155,"🟡 BAJO","🟢 OK")))</f>
        <v/>
      </c>
      <c r="L155" s="45" t="n"/>
      <c r="M155" s="45" t="n"/>
    </row>
    <row r="156" ht="18" customHeight="1">
      <c r="A156" s="42" t="n">
        <v>154</v>
      </c>
      <c r="B156" s="49" t="n"/>
      <c r="C156" s="49" t="n"/>
      <c r="D156" s="49" t="n"/>
      <c r="E156" s="48" t="n"/>
      <c r="F156" s="58" t="n"/>
      <c r="G156" s="58" t="n"/>
      <c r="H156" s="50" t="n"/>
      <c r="I156" s="50" t="n"/>
      <c r="J156" s="33">
        <f>IF(G156&gt;0,G156*H156,"")</f>
        <v/>
      </c>
      <c r="K156" s="48">
        <f>IF(G156="","",IF(G156=0,"🔴 SIN STOCK",IF(G156&lt;=F156,"🟡 BAJO","🟢 OK")))</f>
        <v/>
      </c>
      <c r="L156" s="49" t="n"/>
      <c r="M156" s="49" t="n"/>
    </row>
    <row r="157" ht="18" customHeight="1">
      <c r="A157" s="42" t="n">
        <v>155</v>
      </c>
      <c r="B157" s="45" t="n"/>
      <c r="C157" s="45" t="n"/>
      <c r="D157" s="45" t="n"/>
      <c r="E157" s="44" t="n"/>
      <c r="F157" s="57" t="n"/>
      <c r="G157" s="57" t="n"/>
      <c r="H157" s="46" t="n"/>
      <c r="I157" s="46" t="n"/>
      <c r="J157" s="30">
        <f>IF(G157&gt;0,G157*H157,"")</f>
        <v/>
      </c>
      <c r="K157" s="44">
        <f>IF(G157="","",IF(G157=0,"🔴 SIN STOCK",IF(G157&lt;=F157,"🟡 BAJO","🟢 OK")))</f>
        <v/>
      </c>
      <c r="L157" s="45" t="n"/>
      <c r="M157" s="45" t="n"/>
    </row>
    <row r="158" ht="18" customHeight="1">
      <c r="A158" s="42" t="n">
        <v>156</v>
      </c>
      <c r="B158" s="49" t="n"/>
      <c r="C158" s="49" t="n"/>
      <c r="D158" s="49" t="n"/>
      <c r="E158" s="48" t="n"/>
      <c r="F158" s="58" t="n"/>
      <c r="G158" s="58" t="n"/>
      <c r="H158" s="50" t="n"/>
      <c r="I158" s="50" t="n"/>
      <c r="J158" s="33">
        <f>IF(G158&gt;0,G158*H158,"")</f>
        <v/>
      </c>
      <c r="K158" s="48">
        <f>IF(G158="","",IF(G158=0,"🔴 SIN STOCK",IF(G158&lt;=F158,"🟡 BAJO","🟢 OK")))</f>
        <v/>
      </c>
      <c r="L158" s="49" t="n"/>
      <c r="M158" s="49" t="n"/>
    </row>
    <row r="159" ht="18" customHeight="1">
      <c r="A159" s="42" t="n">
        <v>157</v>
      </c>
      <c r="B159" s="45" t="n"/>
      <c r="C159" s="45" t="n"/>
      <c r="D159" s="45" t="n"/>
      <c r="E159" s="44" t="n"/>
      <c r="F159" s="57" t="n"/>
      <c r="G159" s="57" t="n"/>
      <c r="H159" s="46" t="n"/>
      <c r="I159" s="46" t="n"/>
      <c r="J159" s="30">
        <f>IF(G159&gt;0,G159*H159,"")</f>
        <v/>
      </c>
      <c r="K159" s="44">
        <f>IF(G159="","",IF(G159=0,"🔴 SIN STOCK",IF(G159&lt;=F159,"🟡 BAJO","🟢 OK")))</f>
        <v/>
      </c>
      <c r="L159" s="45" t="n"/>
      <c r="M159" s="45" t="n"/>
    </row>
    <row r="160" ht="18" customHeight="1">
      <c r="A160" s="42" t="n">
        <v>158</v>
      </c>
      <c r="B160" s="49" t="n"/>
      <c r="C160" s="49" t="n"/>
      <c r="D160" s="49" t="n"/>
      <c r="E160" s="48" t="n"/>
      <c r="F160" s="58" t="n"/>
      <c r="G160" s="58" t="n"/>
      <c r="H160" s="50" t="n"/>
      <c r="I160" s="50" t="n"/>
      <c r="J160" s="33">
        <f>IF(G160&gt;0,G160*H160,"")</f>
        <v/>
      </c>
      <c r="K160" s="48">
        <f>IF(G160="","",IF(G160=0,"🔴 SIN STOCK",IF(G160&lt;=F160,"🟡 BAJO","🟢 OK")))</f>
        <v/>
      </c>
      <c r="L160" s="49" t="n"/>
      <c r="M160" s="49" t="n"/>
    </row>
    <row r="161" ht="18" customHeight="1">
      <c r="A161" s="42" t="n">
        <v>159</v>
      </c>
      <c r="B161" s="45" t="n"/>
      <c r="C161" s="45" t="n"/>
      <c r="D161" s="45" t="n"/>
      <c r="E161" s="44" t="n"/>
      <c r="F161" s="57" t="n"/>
      <c r="G161" s="57" t="n"/>
      <c r="H161" s="46" t="n"/>
      <c r="I161" s="46" t="n"/>
      <c r="J161" s="30">
        <f>IF(G161&gt;0,G161*H161,"")</f>
        <v/>
      </c>
      <c r="K161" s="44">
        <f>IF(G161="","",IF(G161=0,"🔴 SIN STOCK",IF(G161&lt;=F161,"🟡 BAJO","🟢 OK")))</f>
        <v/>
      </c>
      <c r="L161" s="45" t="n"/>
      <c r="M161" s="45" t="n"/>
    </row>
    <row r="162" ht="18" customHeight="1">
      <c r="A162" s="42" t="n">
        <v>160</v>
      </c>
      <c r="B162" s="49" t="n"/>
      <c r="C162" s="49" t="n"/>
      <c r="D162" s="49" t="n"/>
      <c r="E162" s="48" t="n"/>
      <c r="F162" s="58" t="n"/>
      <c r="G162" s="58" t="n"/>
      <c r="H162" s="50" t="n"/>
      <c r="I162" s="50" t="n"/>
      <c r="J162" s="33">
        <f>IF(G162&gt;0,G162*H162,"")</f>
        <v/>
      </c>
      <c r="K162" s="48">
        <f>IF(G162="","",IF(G162=0,"🔴 SIN STOCK",IF(G162&lt;=F162,"🟡 BAJO","🟢 OK")))</f>
        <v/>
      </c>
      <c r="L162" s="49" t="n"/>
      <c r="M162" s="49" t="n"/>
    </row>
    <row r="163" ht="18" customHeight="1">
      <c r="A163" s="42" t="n">
        <v>161</v>
      </c>
      <c r="B163" s="45" t="n"/>
      <c r="C163" s="45" t="n"/>
      <c r="D163" s="45" t="n"/>
      <c r="E163" s="44" t="n"/>
      <c r="F163" s="57" t="n"/>
      <c r="G163" s="57" t="n"/>
      <c r="H163" s="46" t="n"/>
      <c r="I163" s="46" t="n"/>
      <c r="J163" s="30">
        <f>IF(G163&gt;0,G163*H163,"")</f>
        <v/>
      </c>
      <c r="K163" s="44">
        <f>IF(G163="","",IF(G163=0,"🔴 SIN STOCK",IF(G163&lt;=F163,"🟡 BAJO","🟢 OK")))</f>
        <v/>
      </c>
      <c r="L163" s="45" t="n"/>
      <c r="M163" s="45" t="n"/>
    </row>
    <row r="164" ht="18" customHeight="1">
      <c r="A164" s="42" t="n">
        <v>162</v>
      </c>
      <c r="B164" s="49" t="n"/>
      <c r="C164" s="49" t="n"/>
      <c r="D164" s="49" t="n"/>
      <c r="E164" s="48" t="n"/>
      <c r="F164" s="58" t="n"/>
      <c r="G164" s="58" t="n"/>
      <c r="H164" s="50" t="n"/>
      <c r="I164" s="50" t="n"/>
      <c r="J164" s="33">
        <f>IF(G164&gt;0,G164*H164,"")</f>
        <v/>
      </c>
      <c r="K164" s="48">
        <f>IF(G164="","",IF(G164=0,"🔴 SIN STOCK",IF(G164&lt;=F164,"🟡 BAJO","🟢 OK")))</f>
        <v/>
      </c>
      <c r="L164" s="49" t="n"/>
      <c r="M164" s="49" t="n"/>
    </row>
    <row r="165" ht="18" customHeight="1">
      <c r="A165" s="42" t="n">
        <v>163</v>
      </c>
      <c r="B165" s="45" t="n"/>
      <c r="C165" s="45" t="n"/>
      <c r="D165" s="45" t="n"/>
      <c r="E165" s="44" t="n"/>
      <c r="F165" s="57" t="n"/>
      <c r="G165" s="57" t="n"/>
      <c r="H165" s="46" t="n"/>
      <c r="I165" s="46" t="n"/>
      <c r="J165" s="30">
        <f>IF(G165&gt;0,G165*H165,"")</f>
        <v/>
      </c>
      <c r="K165" s="44">
        <f>IF(G165="","",IF(G165=0,"🔴 SIN STOCK",IF(G165&lt;=F165,"🟡 BAJO","🟢 OK")))</f>
        <v/>
      </c>
      <c r="L165" s="45" t="n"/>
      <c r="M165" s="45" t="n"/>
    </row>
    <row r="166" ht="18" customHeight="1">
      <c r="A166" s="42" t="n">
        <v>164</v>
      </c>
      <c r="B166" s="49" t="n"/>
      <c r="C166" s="49" t="n"/>
      <c r="D166" s="49" t="n"/>
      <c r="E166" s="48" t="n"/>
      <c r="F166" s="58" t="n"/>
      <c r="G166" s="58" t="n"/>
      <c r="H166" s="50" t="n"/>
      <c r="I166" s="50" t="n"/>
      <c r="J166" s="33">
        <f>IF(G166&gt;0,G166*H166,"")</f>
        <v/>
      </c>
      <c r="K166" s="48">
        <f>IF(G166="","",IF(G166=0,"🔴 SIN STOCK",IF(G166&lt;=F166,"🟡 BAJO","🟢 OK")))</f>
        <v/>
      </c>
      <c r="L166" s="49" t="n"/>
      <c r="M166" s="49" t="n"/>
    </row>
    <row r="167" ht="18" customHeight="1">
      <c r="A167" s="42" t="n">
        <v>165</v>
      </c>
      <c r="B167" s="45" t="n"/>
      <c r="C167" s="45" t="n"/>
      <c r="D167" s="45" t="n"/>
      <c r="E167" s="44" t="n"/>
      <c r="F167" s="57" t="n"/>
      <c r="G167" s="57" t="n"/>
      <c r="H167" s="46" t="n"/>
      <c r="I167" s="46" t="n"/>
      <c r="J167" s="30">
        <f>IF(G167&gt;0,G167*H167,"")</f>
        <v/>
      </c>
      <c r="K167" s="44">
        <f>IF(G167="","",IF(G167=0,"🔴 SIN STOCK",IF(G167&lt;=F167,"🟡 BAJO","🟢 OK")))</f>
        <v/>
      </c>
      <c r="L167" s="45" t="n"/>
      <c r="M167" s="45" t="n"/>
    </row>
    <row r="168" ht="18" customHeight="1">
      <c r="A168" s="42" t="n">
        <v>166</v>
      </c>
      <c r="B168" s="49" t="n"/>
      <c r="C168" s="49" t="n"/>
      <c r="D168" s="49" t="n"/>
      <c r="E168" s="48" t="n"/>
      <c r="F168" s="58" t="n"/>
      <c r="G168" s="58" t="n"/>
      <c r="H168" s="50" t="n"/>
      <c r="I168" s="50" t="n"/>
      <c r="J168" s="33">
        <f>IF(G168&gt;0,G168*H168,"")</f>
        <v/>
      </c>
      <c r="K168" s="48">
        <f>IF(G168="","",IF(G168=0,"🔴 SIN STOCK",IF(G168&lt;=F168,"🟡 BAJO","🟢 OK")))</f>
        <v/>
      </c>
      <c r="L168" s="49" t="n"/>
      <c r="M168" s="49" t="n"/>
    </row>
    <row r="169" ht="18" customHeight="1">
      <c r="A169" s="42" t="n">
        <v>167</v>
      </c>
      <c r="B169" s="45" t="n"/>
      <c r="C169" s="45" t="n"/>
      <c r="D169" s="45" t="n"/>
      <c r="E169" s="44" t="n"/>
      <c r="F169" s="57" t="n"/>
      <c r="G169" s="57" t="n"/>
      <c r="H169" s="46" t="n"/>
      <c r="I169" s="46" t="n"/>
      <c r="J169" s="30">
        <f>IF(G169&gt;0,G169*H169,"")</f>
        <v/>
      </c>
      <c r="K169" s="44">
        <f>IF(G169="","",IF(G169=0,"🔴 SIN STOCK",IF(G169&lt;=F169,"🟡 BAJO","🟢 OK")))</f>
        <v/>
      </c>
      <c r="L169" s="45" t="n"/>
      <c r="M169" s="45" t="n"/>
    </row>
    <row r="170" ht="18" customHeight="1">
      <c r="A170" s="42" t="n">
        <v>168</v>
      </c>
      <c r="B170" s="49" t="n"/>
      <c r="C170" s="49" t="n"/>
      <c r="D170" s="49" t="n"/>
      <c r="E170" s="48" t="n"/>
      <c r="F170" s="58" t="n"/>
      <c r="G170" s="58" t="n"/>
      <c r="H170" s="50" t="n"/>
      <c r="I170" s="50" t="n"/>
      <c r="J170" s="33">
        <f>IF(G170&gt;0,G170*H170,"")</f>
        <v/>
      </c>
      <c r="K170" s="48">
        <f>IF(G170="","",IF(G170=0,"🔴 SIN STOCK",IF(G170&lt;=F170,"🟡 BAJO","🟢 OK")))</f>
        <v/>
      </c>
      <c r="L170" s="49" t="n"/>
      <c r="M170" s="49" t="n"/>
    </row>
    <row r="171" ht="18" customHeight="1">
      <c r="A171" s="42" t="n">
        <v>169</v>
      </c>
      <c r="B171" s="45" t="n"/>
      <c r="C171" s="45" t="n"/>
      <c r="D171" s="45" t="n"/>
      <c r="E171" s="44" t="n"/>
      <c r="F171" s="57" t="n"/>
      <c r="G171" s="57" t="n"/>
      <c r="H171" s="46" t="n"/>
      <c r="I171" s="46" t="n"/>
      <c r="J171" s="30">
        <f>IF(G171&gt;0,G171*H171,"")</f>
        <v/>
      </c>
      <c r="K171" s="44">
        <f>IF(G171="","",IF(G171=0,"🔴 SIN STOCK",IF(G171&lt;=F171,"🟡 BAJO","🟢 OK")))</f>
        <v/>
      </c>
      <c r="L171" s="45" t="n"/>
      <c r="M171" s="45" t="n"/>
    </row>
    <row r="172" ht="18" customHeight="1">
      <c r="A172" s="42" t="n">
        <v>170</v>
      </c>
      <c r="B172" s="49" t="n"/>
      <c r="C172" s="49" t="n"/>
      <c r="D172" s="49" t="n"/>
      <c r="E172" s="48" t="n"/>
      <c r="F172" s="58" t="n"/>
      <c r="G172" s="58" t="n"/>
      <c r="H172" s="50" t="n"/>
      <c r="I172" s="50" t="n"/>
      <c r="J172" s="33">
        <f>IF(G172&gt;0,G172*H172,"")</f>
        <v/>
      </c>
      <c r="K172" s="48">
        <f>IF(G172="","",IF(G172=0,"🔴 SIN STOCK",IF(G172&lt;=F172,"🟡 BAJO","🟢 OK")))</f>
        <v/>
      </c>
      <c r="L172" s="49" t="n"/>
      <c r="M172" s="49" t="n"/>
    </row>
    <row r="173" ht="18" customHeight="1">
      <c r="A173" s="42" t="n">
        <v>171</v>
      </c>
      <c r="B173" s="45" t="n"/>
      <c r="C173" s="45" t="n"/>
      <c r="D173" s="45" t="n"/>
      <c r="E173" s="44" t="n"/>
      <c r="F173" s="57" t="n"/>
      <c r="G173" s="57" t="n"/>
      <c r="H173" s="46" t="n"/>
      <c r="I173" s="46" t="n"/>
      <c r="J173" s="30">
        <f>IF(G173&gt;0,G173*H173,"")</f>
        <v/>
      </c>
      <c r="K173" s="44">
        <f>IF(G173="","",IF(G173=0,"🔴 SIN STOCK",IF(G173&lt;=F173,"🟡 BAJO","🟢 OK")))</f>
        <v/>
      </c>
      <c r="L173" s="45" t="n"/>
      <c r="M173" s="45" t="n"/>
    </row>
    <row r="174" ht="18" customHeight="1">
      <c r="A174" s="42" t="n">
        <v>172</v>
      </c>
      <c r="B174" s="49" t="n"/>
      <c r="C174" s="49" t="n"/>
      <c r="D174" s="49" t="n"/>
      <c r="E174" s="48" t="n"/>
      <c r="F174" s="58" t="n"/>
      <c r="G174" s="58" t="n"/>
      <c r="H174" s="50" t="n"/>
      <c r="I174" s="50" t="n"/>
      <c r="J174" s="33">
        <f>IF(G174&gt;0,G174*H174,"")</f>
        <v/>
      </c>
      <c r="K174" s="48">
        <f>IF(G174="","",IF(G174=0,"🔴 SIN STOCK",IF(G174&lt;=F174,"🟡 BAJO","🟢 OK")))</f>
        <v/>
      </c>
      <c r="L174" s="49" t="n"/>
      <c r="M174" s="49" t="n"/>
    </row>
    <row r="175" ht="18" customHeight="1">
      <c r="A175" s="42" t="n">
        <v>173</v>
      </c>
      <c r="B175" s="45" t="n"/>
      <c r="C175" s="45" t="n"/>
      <c r="D175" s="45" t="n"/>
      <c r="E175" s="44" t="n"/>
      <c r="F175" s="57" t="n"/>
      <c r="G175" s="57" t="n"/>
      <c r="H175" s="46" t="n"/>
      <c r="I175" s="46" t="n"/>
      <c r="J175" s="30">
        <f>IF(G175&gt;0,G175*H175,"")</f>
        <v/>
      </c>
      <c r="K175" s="44">
        <f>IF(G175="","",IF(G175=0,"🔴 SIN STOCK",IF(G175&lt;=F175,"🟡 BAJO","🟢 OK")))</f>
        <v/>
      </c>
      <c r="L175" s="45" t="n"/>
      <c r="M175" s="45" t="n"/>
    </row>
    <row r="176" ht="18" customHeight="1">
      <c r="A176" s="42" t="n">
        <v>174</v>
      </c>
      <c r="B176" s="49" t="n"/>
      <c r="C176" s="49" t="n"/>
      <c r="D176" s="49" t="n"/>
      <c r="E176" s="48" t="n"/>
      <c r="F176" s="58" t="n"/>
      <c r="G176" s="58" t="n"/>
      <c r="H176" s="50" t="n"/>
      <c r="I176" s="50" t="n"/>
      <c r="J176" s="33">
        <f>IF(G176&gt;0,G176*H176,"")</f>
        <v/>
      </c>
      <c r="K176" s="48">
        <f>IF(G176="","",IF(G176=0,"🔴 SIN STOCK",IF(G176&lt;=F176,"🟡 BAJO","🟢 OK")))</f>
        <v/>
      </c>
      <c r="L176" s="49" t="n"/>
      <c r="M176" s="49" t="n"/>
    </row>
    <row r="177" ht="18" customHeight="1">
      <c r="A177" s="42" t="n">
        <v>175</v>
      </c>
      <c r="B177" s="45" t="n"/>
      <c r="C177" s="45" t="n"/>
      <c r="D177" s="45" t="n"/>
      <c r="E177" s="44" t="n"/>
      <c r="F177" s="57" t="n"/>
      <c r="G177" s="57" t="n"/>
      <c r="H177" s="46" t="n"/>
      <c r="I177" s="46" t="n"/>
      <c r="J177" s="30">
        <f>IF(G177&gt;0,G177*H177,"")</f>
        <v/>
      </c>
      <c r="K177" s="44">
        <f>IF(G177="","",IF(G177=0,"🔴 SIN STOCK",IF(G177&lt;=F177,"🟡 BAJO","🟢 OK")))</f>
        <v/>
      </c>
      <c r="L177" s="45" t="n"/>
      <c r="M177" s="45" t="n"/>
    </row>
    <row r="178" ht="18" customHeight="1">
      <c r="A178" s="42" t="n">
        <v>176</v>
      </c>
      <c r="B178" s="49" t="n"/>
      <c r="C178" s="49" t="n"/>
      <c r="D178" s="49" t="n"/>
      <c r="E178" s="48" t="n"/>
      <c r="F178" s="58" t="n"/>
      <c r="G178" s="58" t="n"/>
      <c r="H178" s="50" t="n"/>
      <c r="I178" s="50" t="n"/>
      <c r="J178" s="33">
        <f>IF(G178&gt;0,G178*H178,"")</f>
        <v/>
      </c>
      <c r="K178" s="48">
        <f>IF(G178="","",IF(G178=0,"🔴 SIN STOCK",IF(G178&lt;=F178,"🟡 BAJO","🟢 OK")))</f>
        <v/>
      </c>
      <c r="L178" s="49" t="n"/>
      <c r="M178" s="49" t="n"/>
    </row>
    <row r="179" ht="18" customHeight="1">
      <c r="A179" s="42" t="n">
        <v>177</v>
      </c>
      <c r="B179" s="45" t="n"/>
      <c r="C179" s="45" t="n"/>
      <c r="D179" s="45" t="n"/>
      <c r="E179" s="44" t="n"/>
      <c r="F179" s="57" t="n"/>
      <c r="G179" s="57" t="n"/>
      <c r="H179" s="46" t="n"/>
      <c r="I179" s="46" t="n"/>
      <c r="J179" s="30">
        <f>IF(G179&gt;0,G179*H179,"")</f>
        <v/>
      </c>
      <c r="K179" s="44">
        <f>IF(G179="","",IF(G179=0,"🔴 SIN STOCK",IF(G179&lt;=F179,"🟡 BAJO","🟢 OK")))</f>
        <v/>
      </c>
      <c r="L179" s="45" t="n"/>
      <c r="M179" s="45" t="n"/>
    </row>
    <row r="180" ht="18" customHeight="1">
      <c r="A180" s="42" t="n">
        <v>178</v>
      </c>
      <c r="B180" s="49" t="n"/>
      <c r="C180" s="49" t="n"/>
      <c r="D180" s="49" t="n"/>
      <c r="E180" s="48" t="n"/>
      <c r="F180" s="58" t="n"/>
      <c r="G180" s="58" t="n"/>
      <c r="H180" s="50" t="n"/>
      <c r="I180" s="50" t="n"/>
      <c r="J180" s="33">
        <f>IF(G180&gt;0,G180*H180,"")</f>
        <v/>
      </c>
      <c r="K180" s="48">
        <f>IF(G180="","",IF(G180=0,"🔴 SIN STOCK",IF(G180&lt;=F180,"🟡 BAJO","🟢 OK")))</f>
        <v/>
      </c>
      <c r="L180" s="49" t="n"/>
      <c r="M180" s="49" t="n"/>
    </row>
    <row r="181" ht="18" customHeight="1">
      <c r="A181" s="42" t="n">
        <v>179</v>
      </c>
      <c r="B181" s="45" t="n"/>
      <c r="C181" s="45" t="n"/>
      <c r="D181" s="45" t="n"/>
      <c r="E181" s="44" t="n"/>
      <c r="F181" s="57" t="n"/>
      <c r="G181" s="57" t="n"/>
      <c r="H181" s="46" t="n"/>
      <c r="I181" s="46" t="n"/>
      <c r="J181" s="30">
        <f>IF(G181&gt;0,G181*H181,"")</f>
        <v/>
      </c>
      <c r="K181" s="44">
        <f>IF(G181="","",IF(G181=0,"🔴 SIN STOCK",IF(G181&lt;=F181,"🟡 BAJO","🟢 OK")))</f>
        <v/>
      </c>
      <c r="L181" s="45" t="n"/>
      <c r="M181" s="45" t="n"/>
    </row>
    <row r="182" ht="18" customHeight="1">
      <c r="A182" s="42" t="n">
        <v>180</v>
      </c>
      <c r="B182" s="49" t="n"/>
      <c r="C182" s="49" t="n"/>
      <c r="D182" s="49" t="n"/>
      <c r="E182" s="48" t="n"/>
      <c r="F182" s="58" t="n"/>
      <c r="G182" s="58" t="n"/>
      <c r="H182" s="50" t="n"/>
      <c r="I182" s="50" t="n"/>
      <c r="J182" s="33">
        <f>IF(G182&gt;0,G182*H182,"")</f>
        <v/>
      </c>
      <c r="K182" s="48">
        <f>IF(G182="","",IF(G182=0,"🔴 SIN STOCK",IF(G182&lt;=F182,"🟡 BAJO","🟢 OK")))</f>
        <v/>
      </c>
      <c r="L182" s="49" t="n"/>
      <c r="M182" s="49" t="n"/>
    </row>
    <row r="183" ht="18" customHeight="1">
      <c r="A183" s="42" t="n">
        <v>181</v>
      </c>
      <c r="B183" s="45" t="n"/>
      <c r="C183" s="45" t="n"/>
      <c r="D183" s="45" t="n"/>
      <c r="E183" s="44" t="n"/>
      <c r="F183" s="57" t="n"/>
      <c r="G183" s="57" t="n"/>
      <c r="H183" s="46" t="n"/>
      <c r="I183" s="46" t="n"/>
      <c r="J183" s="30">
        <f>IF(G183&gt;0,G183*H183,"")</f>
        <v/>
      </c>
      <c r="K183" s="44">
        <f>IF(G183="","",IF(G183=0,"🔴 SIN STOCK",IF(G183&lt;=F183,"🟡 BAJO","🟢 OK")))</f>
        <v/>
      </c>
      <c r="L183" s="45" t="n"/>
      <c r="M183" s="45" t="n"/>
    </row>
    <row r="184" ht="18" customHeight="1">
      <c r="A184" s="42" t="n">
        <v>182</v>
      </c>
      <c r="B184" s="49" t="n"/>
      <c r="C184" s="49" t="n"/>
      <c r="D184" s="49" t="n"/>
      <c r="E184" s="48" t="n"/>
      <c r="F184" s="58" t="n"/>
      <c r="G184" s="58" t="n"/>
      <c r="H184" s="50" t="n"/>
      <c r="I184" s="50" t="n"/>
      <c r="J184" s="33">
        <f>IF(G184&gt;0,G184*H184,"")</f>
        <v/>
      </c>
      <c r="K184" s="48">
        <f>IF(G184="","",IF(G184=0,"🔴 SIN STOCK",IF(G184&lt;=F184,"🟡 BAJO","🟢 OK")))</f>
        <v/>
      </c>
      <c r="L184" s="49" t="n"/>
      <c r="M184" s="49" t="n"/>
    </row>
    <row r="185" ht="18" customHeight="1">
      <c r="A185" s="42" t="n">
        <v>183</v>
      </c>
      <c r="B185" s="45" t="n"/>
      <c r="C185" s="45" t="n"/>
      <c r="D185" s="45" t="n"/>
      <c r="E185" s="44" t="n"/>
      <c r="F185" s="57" t="n"/>
      <c r="G185" s="57" t="n"/>
      <c r="H185" s="46" t="n"/>
      <c r="I185" s="46" t="n"/>
      <c r="J185" s="30">
        <f>IF(G185&gt;0,G185*H185,"")</f>
        <v/>
      </c>
      <c r="K185" s="44">
        <f>IF(G185="","",IF(G185=0,"🔴 SIN STOCK",IF(G185&lt;=F185,"🟡 BAJO","🟢 OK")))</f>
        <v/>
      </c>
      <c r="L185" s="45" t="n"/>
      <c r="M185" s="45" t="n"/>
    </row>
    <row r="186" ht="18" customHeight="1">
      <c r="A186" s="42" t="n">
        <v>184</v>
      </c>
      <c r="B186" s="49" t="n"/>
      <c r="C186" s="49" t="n"/>
      <c r="D186" s="49" t="n"/>
      <c r="E186" s="48" t="n"/>
      <c r="F186" s="58" t="n"/>
      <c r="G186" s="58" t="n"/>
      <c r="H186" s="50" t="n"/>
      <c r="I186" s="50" t="n"/>
      <c r="J186" s="33">
        <f>IF(G186&gt;0,G186*H186,"")</f>
        <v/>
      </c>
      <c r="K186" s="48">
        <f>IF(G186="","",IF(G186=0,"🔴 SIN STOCK",IF(G186&lt;=F186,"🟡 BAJO","🟢 OK")))</f>
        <v/>
      </c>
      <c r="L186" s="49" t="n"/>
      <c r="M186" s="49" t="n"/>
    </row>
    <row r="187" ht="18" customHeight="1">
      <c r="A187" s="42" t="n">
        <v>185</v>
      </c>
      <c r="B187" s="45" t="n"/>
      <c r="C187" s="45" t="n"/>
      <c r="D187" s="45" t="n"/>
      <c r="E187" s="44" t="n"/>
      <c r="F187" s="57" t="n"/>
      <c r="G187" s="57" t="n"/>
      <c r="H187" s="46" t="n"/>
      <c r="I187" s="46" t="n"/>
      <c r="J187" s="30">
        <f>IF(G187&gt;0,G187*H187,"")</f>
        <v/>
      </c>
      <c r="K187" s="44">
        <f>IF(G187="","",IF(G187=0,"🔴 SIN STOCK",IF(G187&lt;=F187,"🟡 BAJO","🟢 OK")))</f>
        <v/>
      </c>
      <c r="L187" s="45" t="n"/>
      <c r="M187" s="45" t="n"/>
    </row>
    <row r="188" ht="18" customHeight="1">
      <c r="A188" s="42" t="n">
        <v>186</v>
      </c>
      <c r="B188" s="49" t="n"/>
      <c r="C188" s="49" t="n"/>
      <c r="D188" s="49" t="n"/>
      <c r="E188" s="48" t="n"/>
      <c r="F188" s="58" t="n"/>
      <c r="G188" s="58" t="n"/>
      <c r="H188" s="50" t="n"/>
      <c r="I188" s="50" t="n"/>
      <c r="J188" s="33">
        <f>IF(G188&gt;0,G188*H188,"")</f>
        <v/>
      </c>
      <c r="K188" s="48">
        <f>IF(G188="","",IF(G188=0,"🔴 SIN STOCK",IF(G188&lt;=F188,"🟡 BAJO","🟢 OK")))</f>
        <v/>
      </c>
      <c r="L188" s="49" t="n"/>
      <c r="M188" s="49" t="n"/>
    </row>
    <row r="189" ht="18" customHeight="1">
      <c r="A189" s="42" t="n">
        <v>187</v>
      </c>
      <c r="B189" s="45" t="n"/>
      <c r="C189" s="45" t="n"/>
      <c r="D189" s="45" t="n"/>
      <c r="E189" s="44" t="n"/>
      <c r="F189" s="57" t="n"/>
      <c r="G189" s="57" t="n"/>
      <c r="H189" s="46" t="n"/>
      <c r="I189" s="46" t="n"/>
      <c r="J189" s="30">
        <f>IF(G189&gt;0,G189*H189,"")</f>
        <v/>
      </c>
      <c r="K189" s="44">
        <f>IF(G189="","",IF(G189=0,"🔴 SIN STOCK",IF(G189&lt;=F189,"🟡 BAJO","🟢 OK")))</f>
        <v/>
      </c>
      <c r="L189" s="45" t="n"/>
      <c r="M189" s="45" t="n"/>
    </row>
    <row r="190" ht="18" customHeight="1">
      <c r="A190" s="42" t="n">
        <v>188</v>
      </c>
      <c r="B190" s="49" t="n"/>
      <c r="C190" s="49" t="n"/>
      <c r="D190" s="49" t="n"/>
      <c r="E190" s="48" t="n"/>
      <c r="F190" s="58" t="n"/>
      <c r="G190" s="58" t="n"/>
      <c r="H190" s="50" t="n"/>
      <c r="I190" s="50" t="n"/>
      <c r="J190" s="33">
        <f>IF(G190&gt;0,G190*H190,"")</f>
        <v/>
      </c>
      <c r="K190" s="48">
        <f>IF(G190="","",IF(G190=0,"🔴 SIN STOCK",IF(G190&lt;=F190,"🟡 BAJO","🟢 OK")))</f>
        <v/>
      </c>
      <c r="L190" s="49" t="n"/>
      <c r="M190" s="49" t="n"/>
    </row>
    <row r="191" ht="18" customHeight="1">
      <c r="A191" s="42" t="n">
        <v>189</v>
      </c>
      <c r="B191" s="45" t="n"/>
      <c r="C191" s="45" t="n"/>
      <c r="D191" s="45" t="n"/>
      <c r="E191" s="44" t="n"/>
      <c r="F191" s="57" t="n"/>
      <c r="G191" s="57" t="n"/>
      <c r="H191" s="46" t="n"/>
      <c r="I191" s="46" t="n"/>
      <c r="J191" s="30">
        <f>IF(G191&gt;0,G191*H191,"")</f>
        <v/>
      </c>
      <c r="K191" s="44">
        <f>IF(G191="","",IF(G191=0,"🔴 SIN STOCK",IF(G191&lt;=F191,"🟡 BAJO","🟢 OK")))</f>
        <v/>
      </c>
      <c r="L191" s="45" t="n"/>
      <c r="M191" s="45" t="n"/>
    </row>
    <row r="192" ht="18" customHeight="1">
      <c r="A192" s="42" t="n">
        <v>190</v>
      </c>
      <c r="B192" s="49" t="n"/>
      <c r="C192" s="49" t="n"/>
      <c r="D192" s="49" t="n"/>
      <c r="E192" s="48" t="n"/>
      <c r="F192" s="58" t="n"/>
      <c r="G192" s="58" t="n"/>
      <c r="H192" s="50" t="n"/>
      <c r="I192" s="50" t="n"/>
      <c r="J192" s="33">
        <f>IF(G192&gt;0,G192*H192,"")</f>
        <v/>
      </c>
      <c r="K192" s="48">
        <f>IF(G192="","",IF(G192=0,"🔴 SIN STOCK",IF(G192&lt;=F192,"🟡 BAJO","🟢 OK")))</f>
        <v/>
      </c>
      <c r="L192" s="49" t="n"/>
      <c r="M192" s="49" t="n"/>
    </row>
    <row r="193" ht="18" customHeight="1">
      <c r="A193" s="42" t="n">
        <v>191</v>
      </c>
      <c r="B193" s="45" t="n"/>
      <c r="C193" s="45" t="n"/>
      <c r="D193" s="45" t="n"/>
      <c r="E193" s="44" t="n"/>
      <c r="F193" s="57" t="n"/>
      <c r="G193" s="57" t="n"/>
      <c r="H193" s="46" t="n"/>
      <c r="I193" s="46" t="n"/>
      <c r="J193" s="30">
        <f>IF(G193&gt;0,G193*H193,"")</f>
        <v/>
      </c>
      <c r="K193" s="44">
        <f>IF(G193="","",IF(G193=0,"🔴 SIN STOCK",IF(G193&lt;=F193,"🟡 BAJO","🟢 OK")))</f>
        <v/>
      </c>
      <c r="L193" s="45" t="n"/>
      <c r="M193" s="45" t="n"/>
    </row>
    <row r="194" ht="18" customHeight="1">
      <c r="A194" s="42" t="n">
        <v>192</v>
      </c>
      <c r="B194" s="49" t="n"/>
      <c r="C194" s="49" t="n"/>
      <c r="D194" s="49" t="n"/>
      <c r="E194" s="48" t="n"/>
      <c r="F194" s="58" t="n"/>
      <c r="G194" s="58" t="n"/>
      <c r="H194" s="50" t="n"/>
      <c r="I194" s="50" t="n"/>
      <c r="J194" s="33">
        <f>IF(G194&gt;0,G194*H194,"")</f>
        <v/>
      </c>
      <c r="K194" s="48">
        <f>IF(G194="","",IF(G194=0,"🔴 SIN STOCK",IF(G194&lt;=F194,"🟡 BAJO","🟢 OK")))</f>
        <v/>
      </c>
      <c r="L194" s="49" t="n"/>
      <c r="M194" s="49" t="n"/>
    </row>
    <row r="195" ht="18" customHeight="1">
      <c r="A195" s="42" t="n">
        <v>193</v>
      </c>
      <c r="B195" s="45" t="n"/>
      <c r="C195" s="45" t="n"/>
      <c r="D195" s="45" t="n"/>
      <c r="E195" s="44" t="n"/>
      <c r="F195" s="57" t="n"/>
      <c r="G195" s="57" t="n"/>
      <c r="H195" s="46" t="n"/>
      <c r="I195" s="46" t="n"/>
      <c r="J195" s="30">
        <f>IF(G195&gt;0,G195*H195,"")</f>
        <v/>
      </c>
      <c r="K195" s="44">
        <f>IF(G195="","",IF(G195=0,"🔴 SIN STOCK",IF(G195&lt;=F195,"🟡 BAJO","🟢 OK")))</f>
        <v/>
      </c>
      <c r="L195" s="45" t="n"/>
      <c r="M195" s="45" t="n"/>
    </row>
    <row r="196" ht="18" customHeight="1">
      <c r="A196" s="42" t="n">
        <v>194</v>
      </c>
      <c r="B196" s="49" t="n"/>
      <c r="C196" s="49" t="n"/>
      <c r="D196" s="49" t="n"/>
      <c r="E196" s="48" t="n"/>
      <c r="F196" s="58" t="n"/>
      <c r="G196" s="58" t="n"/>
      <c r="H196" s="50" t="n"/>
      <c r="I196" s="50" t="n"/>
      <c r="J196" s="33">
        <f>IF(G196&gt;0,G196*H196,"")</f>
        <v/>
      </c>
      <c r="K196" s="48">
        <f>IF(G196="","",IF(G196=0,"🔴 SIN STOCK",IF(G196&lt;=F196,"🟡 BAJO","🟢 OK")))</f>
        <v/>
      </c>
      <c r="L196" s="49" t="n"/>
      <c r="M196" s="49" t="n"/>
    </row>
    <row r="197" ht="18" customHeight="1">
      <c r="A197" s="42" t="n">
        <v>195</v>
      </c>
      <c r="B197" s="45" t="n"/>
      <c r="C197" s="45" t="n"/>
      <c r="D197" s="45" t="n"/>
      <c r="E197" s="44" t="n"/>
      <c r="F197" s="57" t="n"/>
      <c r="G197" s="57" t="n"/>
      <c r="H197" s="46" t="n"/>
      <c r="I197" s="46" t="n"/>
      <c r="J197" s="30">
        <f>IF(G197&gt;0,G197*H197,"")</f>
        <v/>
      </c>
      <c r="K197" s="44">
        <f>IF(G197="","",IF(G197=0,"🔴 SIN STOCK",IF(G197&lt;=F197,"🟡 BAJO","🟢 OK")))</f>
        <v/>
      </c>
      <c r="L197" s="45" t="n"/>
      <c r="M197" s="45" t="n"/>
    </row>
    <row r="198" ht="18" customHeight="1">
      <c r="A198" s="42" t="n">
        <v>196</v>
      </c>
      <c r="B198" s="49" t="n"/>
      <c r="C198" s="49" t="n"/>
      <c r="D198" s="49" t="n"/>
      <c r="E198" s="48" t="n"/>
      <c r="F198" s="58" t="n"/>
      <c r="G198" s="58" t="n"/>
      <c r="H198" s="50" t="n"/>
      <c r="I198" s="50" t="n"/>
      <c r="J198" s="33">
        <f>IF(G198&gt;0,G198*H198,"")</f>
        <v/>
      </c>
      <c r="K198" s="48">
        <f>IF(G198="","",IF(G198=0,"🔴 SIN STOCK",IF(G198&lt;=F198,"🟡 BAJO","🟢 OK")))</f>
        <v/>
      </c>
      <c r="L198" s="49" t="n"/>
      <c r="M198" s="49" t="n"/>
    </row>
    <row r="199" ht="18" customHeight="1">
      <c r="A199" s="42" t="n">
        <v>197</v>
      </c>
      <c r="B199" s="45" t="n"/>
      <c r="C199" s="45" t="n"/>
      <c r="D199" s="45" t="n"/>
      <c r="E199" s="44" t="n"/>
      <c r="F199" s="57" t="n"/>
      <c r="G199" s="57" t="n"/>
      <c r="H199" s="46" t="n"/>
      <c r="I199" s="46" t="n"/>
      <c r="J199" s="30">
        <f>IF(G199&gt;0,G199*H199,"")</f>
        <v/>
      </c>
      <c r="K199" s="44">
        <f>IF(G199="","",IF(G199=0,"🔴 SIN STOCK",IF(G199&lt;=F199,"🟡 BAJO","🟢 OK")))</f>
        <v/>
      </c>
      <c r="L199" s="45" t="n"/>
      <c r="M199" s="45" t="n"/>
    </row>
    <row r="200" ht="18" customHeight="1">
      <c r="A200" s="42" t="n">
        <v>198</v>
      </c>
      <c r="B200" s="49" t="n"/>
      <c r="C200" s="49" t="n"/>
      <c r="D200" s="49" t="n"/>
      <c r="E200" s="48" t="n"/>
      <c r="F200" s="58" t="n"/>
      <c r="G200" s="58" t="n"/>
      <c r="H200" s="50" t="n"/>
      <c r="I200" s="50" t="n"/>
      <c r="J200" s="33">
        <f>IF(G200&gt;0,G200*H200,"")</f>
        <v/>
      </c>
      <c r="K200" s="48">
        <f>IF(G200="","",IF(G200=0,"🔴 SIN STOCK",IF(G200&lt;=F200,"🟡 BAJO","🟢 OK")))</f>
        <v/>
      </c>
      <c r="L200" s="49" t="n"/>
      <c r="M200" s="49" t="n"/>
    </row>
    <row r="201" ht="18" customHeight="1">
      <c r="A201" s="42" t="n">
        <v>199</v>
      </c>
      <c r="B201" s="45" t="n"/>
      <c r="C201" s="45" t="n"/>
      <c r="D201" s="45" t="n"/>
      <c r="E201" s="44" t="n"/>
      <c r="F201" s="57" t="n"/>
      <c r="G201" s="57" t="n"/>
      <c r="H201" s="46" t="n"/>
      <c r="I201" s="46" t="n"/>
      <c r="J201" s="30">
        <f>IF(G201&gt;0,G201*H201,"")</f>
        <v/>
      </c>
      <c r="K201" s="44">
        <f>IF(G201="","",IF(G201=0,"🔴 SIN STOCK",IF(G201&lt;=F201,"🟡 BAJO","🟢 OK")))</f>
        <v/>
      </c>
      <c r="L201" s="45" t="n"/>
      <c r="M201" s="45" t="n"/>
    </row>
    <row r="202" ht="18" customHeight="1">
      <c r="A202" s="42" t="n">
        <v>200</v>
      </c>
      <c r="B202" s="49" t="n"/>
      <c r="C202" s="49" t="n"/>
      <c r="D202" s="49" t="n"/>
      <c r="E202" s="48" t="n"/>
      <c r="F202" s="58" t="n"/>
      <c r="G202" s="58" t="n"/>
      <c r="H202" s="50" t="n"/>
      <c r="I202" s="50" t="n"/>
      <c r="J202" s="33">
        <f>IF(G202&gt;0,G202*H202,"")</f>
        <v/>
      </c>
      <c r="K202" s="48">
        <f>IF(G202="","",IF(G202=0,"🔴 SIN STOCK",IF(G202&lt;=F202,"🟡 BAJO","🟢 OK")))</f>
        <v/>
      </c>
      <c r="L202" s="49" t="n"/>
      <c r="M202" s="49" t="n"/>
    </row>
    <row r="203" ht="22" customHeight="1">
      <c r="A203" s="51" t="n"/>
      <c r="B203" s="51" t="n"/>
      <c r="C203" s="51" t="n"/>
      <c r="D203" s="51" t="n"/>
      <c r="E203" s="51" t="n"/>
      <c r="F203" s="51" t="n"/>
      <c r="G203" s="51" t="n"/>
      <c r="H203" s="51" t="n"/>
      <c r="I203" s="54" t="inlineStr">
        <is>
          <t>VALOR TOTAL →</t>
        </is>
      </c>
      <c r="J203" s="59">
        <f>SUM(J3:J202)</f>
        <v/>
      </c>
    </row>
  </sheetData>
  <mergeCells count="1">
    <mergeCell ref="A1:M1"/>
  </mergeCells>
  <dataValidations count="1">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showDropDown="0" showInputMessage="0" showErrorMessage="0" allowBlank="0" type="list">
      <formula1>'⚙ Listas'!$F$2:$F$10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9"/>
  <sheetViews>
    <sheetView showGridLines="0" workbookViewId="0">
      <pane ySplit="2" topLeftCell="A3" activePane="bottomLeft" state="frozen"/>
      <selection pane="bottomLeft" activeCell="A1" sqref="A1"/>
    </sheetView>
  </sheetViews>
  <sheetFormatPr baseColWidth="8" defaultRowHeight="15"/>
  <cols>
    <col width="5" customWidth="1" min="1" max="1"/>
    <col width="28" customWidth="1" min="2" max="2"/>
    <col width="18" customWidth="1" min="3" max="3"/>
    <col width="24" customWidth="1" min="4" max="4"/>
    <col width="14" customWidth="1" min="5" max="5"/>
    <col width="16" customWidth="1" min="6" max="6"/>
    <col width="14" customWidth="1" min="7" max="7"/>
    <col width="14" customWidth="1" min="8" max="8"/>
    <col width="16" customWidth="1" min="9" max="9"/>
    <col width="12" customWidth="1" min="10" max="10"/>
    <col width="13" customWidth="1" min="11" max="11"/>
    <col width="20" customWidth="1" min="12" max="12"/>
  </cols>
  <sheetData>
    <row r="1" ht="32" customHeight="1">
      <c r="A1" s="41" t="inlineStr">
        <is>
          <t>👥  CLIENTES · CUENTAS POR COBRAR</t>
        </is>
      </c>
    </row>
    <row r="2" ht="22" customHeight="1">
      <c r="A2" s="60" t="inlineStr">
        <is>
          <t>#</t>
        </is>
      </c>
      <c r="B2" s="60" t="inlineStr">
        <is>
          <t>Cliente / Razón Social</t>
        </is>
      </c>
      <c r="C2" s="60" t="inlineStr">
        <is>
          <t>Contacto</t>
        </is>
      </c>
      <c r="D2" s="60" t="inlineStr">
        <is>
          <t>Concepto</t>
        </is>
      </c>
      <c r="E2" s="60" t="inlineStr">
        <is>
          <t>Fecha Emisión</t>
        </is>
      </c>
      <c r="F2" s="60" t="inlineStr">
        <is>
          <t>Fecha Vencimiento</t>
        </is>
      </c>
      <c r="G2" s="60" t="inlineStr">
        <is>
          <t>Monto Total</t>
        </is>
      </c>
      <c r="H2" s="60" t="inlineStr">
        <is>
          <t>Monto Pagado</t>
        </is>
      </c>
      <c r="I2" s="60" t="inlineStr">
        <is>
          <t>Saldo Pendiente</t>
        </is>
      </c>
      <c r="J2" s="60" t="inlineStr">
        <is>
          <t>Estado</t>
        </is>
      </c>
      <c r="K2" s="60" t="inlineStr">
        <is>
          <t>Días Vencidos</t>
        </is>
      </c>
      <c r="L2" s="60" t="inlineStr">
        <is>
          <t>Notas</t>
        </is>
      </c>
    </row>
    <row r="3" ht="18" customHeight="1">
      <c r="A3" s="42" t="n">
        <v>1</v>
      </c>
      <c r="B3" s="45" t="n"/>
      <c r="C3" s="45" t="n"/>
      <c r="D3" s="45" t="n"/>
      <c r="E3" s="43" t="n"/>
      <c r="F3" s="43" t="n"/>
      <c r="G3" s="46" t="n"/>
      <c r="H3" s="46" t="n"/>
      <c r="I3" s="30">
        <f>IF(G3&gt;0,G3-H3,"")</f>
        <v/>
      </c>
      <c r="J3" s="44" t="n"/>
      <c r="K3" s="61">
        <f>IF(F3="","",IF(I3&gt;0,MAX(0,TODAY()-F3),""))</f>
        <v/>
      </c>
      <c r="L3" s="45" t="n"/>
    </row>
    <row r="4" ht="18" customHeight="1">
      <c r="A4" s="42" t="n">
        <v>2</v>
      </c>
      <c r="B4" s="49" t="n"/>
      <c r="C4" s="49" t="n"/>
      <c r="D4" s="49" t="n"/>
      <c r="E4" s="47" t="n"/>
      <c r="F4" s="47" t="n"/>
      <c r="G4" s="50" t="n"/>
      <c r="H4" s="50" t="n"/>
      <c r="I4" s="33">
        <f>IF(G4&gt;0,G4-H4,"")</f>
        <v/>
      </c>
      <c r="J4" s="48" t="n"/>
      <c r="K4" s="62">
        <f>IF(F4="","",IF(I4&gt;0,MAX(0,TODAY()-F4),""))</f>
        <v/>
      </c>
      <c r="L4" s="49" t="n"/>
    </row>
    <row r="5" ht="18" customHeight="1">
      <c r="A5" s="42" t="n">
        <v>3</v>
      </c>
      <c r="B5" s="45" t="n"/>
      <c r="C5" s="45" t="n"/>
      <c r="D5" s="45" t="n"/>
      <c r="E5" s="43" t="n"/>
      <c r="F5" s="43" t="n"/>
      <c r="G5" s="46" t="n"/>
      <c r="H5" s="46" t="n"/>
      <c r="I5" s="30">
        <f>IF(G5&gt;0,G5-H5,"")</f>
        <v/>
      </c>
      <c r="J5" s="44" t="n"/>
      <c r="K5" s="61">
        <f>IF(F5="","",IF(I5&gt;0,MAX(0,TODAY()-F5),""))</f>
        <v/>
      </c>
      <c r="L5" s="45" t="n"/>
    </row>
    <row r="6" ht="18" customHeight="1">
      <c r="A6" s="42" t="n">
        <v>4</v>
      </c>
      <c r="B6" s="49" t="n"/>
      <c r="C6" s="49" t="n"/>
      <c r="D6" s="49" t="n"/>
      <c r="E6" s="47" t="n"/>
      <c r="F6" s="47" t="n"/>
      <c r="G6" s="50" t="n"/>
      <c r="H6" s="50" t="n"/>
      <c r="I6" s="33">
        <f>IF(G6&gt;0,G6-H6,"")</f>
        <v/>
      </c>
      <c r="J6" s="48" t="n"/>
      <c r="K6" s="62">
        <f>IF(F6="","",IF(I6&gt;0,MAX(0,TODAY()-F6),""))</f>
        <v/>
      </c>
      <c r="L6" s="49" t="n"/>
    </row>
    <row r="7" ht="18" customHeight="1">
      <c r="A7" s="42" t="n">
        <v>5</v>
      </c>
      <c r="B7" s="45" t="n"/>
      <c r="C7" s="45" t="n"/>
      <c r="D7" s="45" t="n"/>
      <c r="E7" s="43" t="n"/>
      <c r="F7" s="43" t="n"/>
      <c r="G7" s="46" t="n"/>
      <c r="H7" s="46" t="n"/>
      <c r="I7" s="30">
        <f>IF(G7&gt;0,G7-H7,"")</f>
        <v/>
      </c>
      <c r="J7" s="44" t="n"/>
      <c r="K7" s="61">
        <f>IF(F7="","",IF(I7&gt;0,MAX(0,TODAY()-F7),""))</f>
        <v/>
      </c>
      <c r="L7" s="45" t="n"/>
    </row>
    <row r="8" ht="18" customHeight="1">
      <c r="A8" s="42" t="n">
        <v>6</v>
      </c>
      <c r="B8" s="49" t="n"/>
      <c r="C8" s="49" t="n"/>
      <c r="D8" s="49" t="n"/>
      <c r="E8" s="47" t="n"/>
      <c r="F8" s="47" t="n"/>
      <c r="G8" s="50" t="n"/>
      <c r="H8" s="50" t="n"/>
      <c r="I8" s="33">
        <f>IF(G8&gt;0,G8-H8,"")</f>
        <v/>
      </c>
      <c r="J8" s="48" t="n"/>
      <c r="K8" s="62">
        <f>IF(F8="","",IF(I8&gt;0,MAX(0,TODAY()-F8),""))</f>
        <v/>
      </c>
      <c r="L8" s="49" t="n"/>
    </row>
    <row r="9" ht="18" customHeight="1">
      <c r="A9" s="42" t="n">
        <v>7</v>
      </c>
      <c r="B9" s="45" t="n"/>
      <c r="C9" s="45" t="n"/>
      <c r="D9" s="45" t="n"/>
      <c r="E9" s="43" t="n"/>
      <c r="F9" s="43" t="n"/>
      <c r="G9" s="46" t="n"/>
      <c r="H9" s="46" t="n"/>
      <c r="I9" s="30">
        <f>IF(G9&gt;0,G9-H9,"")</f>
        <v/>
      </c>
      <c r="J9" s="44" t="n"/>
      <c r="K9" s="61">
        <f>IF(F9="","",IF(I9&gt;0,MAX(0,TODAY()-F9),""))</f>
        <v/>
      </c>
      <c r="L9" s="45" t="n"/>
    </row>
    <row r="10" ht="18" customHeight="1">
      <c r="A10" s="42" t="n">
        <v>8</v>
      </c>
      <c r="B10" s="49" t="n"/>
      <c r="C10" s="49" t="n"/>
      <c r="D10" s="49" t="n"/>
      <c r="E10" s="47" t="n"/>
      <c r="F10" s="47" t="n"/>
      <c r="G10" s="50" t="n"/>
      <c r="H10" s="50" t="n"/>
      <c r="I10" s="33">
        <f>IF(G10&gt;0,G10-H10,"")</f>
        <v/>
      </c>
      <c r="J10" s="48" t="n"/>
      <c r="K10" s="62">
        <f>IF(F10="","",IF(I10&gt;0,MAX(0,TODAY()-F10),""))</f>
        <v/>
      </c>
      <c r="L10" s="49" t="n"/>
    </row>
    <row r="11" ht="18" customHeight="1">
      <c r="A11" s="42" t="n">
        <v>9</v>
      </c>
      <c r="B11" s="45" t="n"/>
      <c r="C11" s="45" t="n"/>
      <c r="D11" s="45" t="n"/>
      <c r="E11" s="43" t="n"/>
      <c r="F11" s="43" t="n"/>
      <c r="G11" s="46" t="n"/>
      <c r="H11" s="46" t="n"/>
      <c r="I11" s="30">
        <f>IF(G11&gt;0,G11-H11,"")</f>
        <v/>
      </c>
      <c r="J11" s="44" t="n"/>
      <c r="K11" s="61">
        <f>IF(F11="","",IF(I11&gt;0,MAX(0,TODAY()-F11),""))</f>
        <v/>
      </c>
      <c r="L11" s="45" t="n"/>
    </row>
    <row r="12" ht="18" customHeight="1">
      <c r="A12" s="42" t="n">
        <v>10</v>
      </c>
      <c r="B12" s="49" t="n"/>
      <c r="C12" s="49" t="n"/>
      <c r="D12" s="49" t="n"/>
      <c r="E12" s="47" t="n"/>
      <c r="F12" s="47" t="n"/>
      <c r="G12" s="50" t="n"/>
      <c r="H12" s="50" t="n"/>
      <c r="I12" s="33">
        <f>IF(G12&gt;0,G12-H12,"")</f>
        <v/>
      </c>
      <c r="J12" s="48" t="n"/>
      <c r="K12" s="62">
        <f>IF(F12="","",IF(I12&gt;0,MAX(0,TODAY()-F12),""))</f>
        <v/>
      </c>
      <c r="L12" s="49" t="n"/>
    </row>
    <row r="13" ht="18" customHeight="1">
      <c r="A13" s="42" t="n">
        <v>11</v>
      </c>
      <c r="B13" s="45" t="n"/>
      <c r="C13" s="45" t="n"/>
      <c r="D13" s="45" t="n"/>
      <c r="E13" s="43" t="n"/>
      <c r="F13" s="43" t="n"/>
      <c r="G13" s="46" t="n"/>
      <c r="H13" s="46" t="n"/>
      <c r="I13" s="30">
        <f>IF(G13&gt;0,G13-H13,"")</f>
        <v/>
      </c>
      <c r="J13" s="44" t="n"/>
      <c r="K13" s="61">
        <f>IF(F13="","",IF(I13&gt;0,MAX(0,TODAY()-F13),""))</f>
        <v/>
      </c>
      <c r="L13" s="45" t="n"/>
    </row>
    <row r="14" ht="18" customHeight="1">
      <c r="A14" s="42" t="n">
        <v>12</v>
      </c>
      <c r="B14" s="49" t="n"/>
      <c r="C14" s="49" t="n"/>
      <c r="D14" s="49" t="n"/>
      <c r="E14" s="47" t="n"/>
      <c r="F14" s="47" t="n"/>
      <c r="G14" s="50" t="n"/>
      <c r="H14" s="50" t="n"/>
      <c r="I14" s="33">
        <f>IF(G14&gt;0,G14-H14,"")</f>
        <v/>
      </c>
      <c r="J14" s="48" t="n"/>
      <c r="K14" s="62">
        <f>IF(F14="","",IF(I14&gt;0,MAX(0,TODAY()-F14),""))</f>
        <v/>
      </c>
      <c r="L14" s="49" t="n"/>
    </row>
    <row r="15" ht="18" customHeight="1">
      <c r="A15" s="42" t="n">
        <v>13</v>
      </c>
      <c r="B15" s="45" t="n"/>
      <c r="C15" s="45" t="n"/>
      <c r="D15" s="45" t="n"/>
      <c r="E15" s="43" t="n"/>
      <c r="F15" s="43" t="n"/>
      <c r="G15" s="46" t="n"/>
      <c r="H15" s="46" t="n"/>
      <c r="I15" s="30">
        <f>IF(G15&gt;0,G15-H15,"")</f>
        <v/>
      </c>
      <c r="J15" s="44" t="n"/>
      <c r="K15" s="61">
        <f>IF(F15="","",IF(I15&gt;0,MAX(0,TODAY()-F15),""))</f>
        <v/>
      </c>
      <c r="L15" s="45" t="n"/>
    </row>
    <row r="16" ht="18" customHeight="1">
      <c r="A16" s="42" t="n">
        <v>14</v>
      </c>
      <c r="B16" s="49" t="n"/>
      <c r="C16" s="49" t="n"/>
      <c r="D16" s="49" t="n"/>
      <c r="E16" s="47" t="n"/>
      <c r="F16" s="47" t="n"/>
      <c r="G16" s="50" t="n"/>
      <c r="H16" s="50" t="n"/>
      <c r="I16" s="33">
        <f>IF(G16&gt;0,G16-H16,"")</f>
        <v/>
      </c>
      <c r="J16" s="48" t="n"/>
      <c r="K16" s="62">
        <f>IF(F16="","",IF(I16&gt;0,MAX(0,TODAY()-F16),""))</f>
        <v/>
      </c>
      <c r="L16" s="49" t="n"/>
    </row>
    <row r="17" ht="18" customHeight="1">
      <c r="A17" s="42" t="n">
        <v>15</v>
      </c>
      <c r="B17" s="45" t="n"/>
      <c r="C17" s="45" t="n"/>
      <c r="D17" s="45" t="n"/>
      <c r="E17" s="43" t="n"/>
      <c r="F17" s="43" t="n"/>
      <c r="G17" s="46" t="n"/>
      <c r="H17" s="46" t="n"/>
      <c r="I17" s="30">
        <f>IF(G17&gt;0,G17-H17,"")</f>
        <v/>
      </c>
      <c r="J17" s="44" t="n"/>
      <c r="K17" s="61">
        <f>IF(F17="","",IF(I17&gt;0,MAX(0,TODAY()-F17),""))</f>
        <v/>
      </c>
      <c r="L17" s="45" t="n"/>
    </row>
    <row r="18" ht="18" customHeight="1">
      <c r="A18" s="42" t="n">
        <v>16</v>
      </c>
      <c r="B18" s="49" t="n"/>
      <c r="C18" s="49" t="n"/>
      <c r="D18" s="49" t="n"/>
      <c r="E18" s="47" t="n"/>
      <c r="F18" s="47" t="n"/>
      <c r="G18" s="50" t="n"/>
      <c r="H18" s="50" t="n"/>
      <c r="I18" s="33">
        <f>IF(G18&gt;0,G18-H18,"")</f>
        <v/>
      </c>
      <c r="J18" s="48" t="n"/>
      <c r="K18" s="62">
        <f>IF(F18="","",IF(I18&gt;0,MAX(0,TODAY()-F18),""))</f>
        <v/>
      </c>
      <c r="L18" s="49" t="n"/>
    </row>
    <row r="19" ht="18" customHeight="1">
      <c r="A19" s="42" t="n">
        <v>17</v>
      </c>
      <c r="B19" s="45" t="n"/>
      <c r="C19" s="45" t="n"/>
      <c r="D19" s="45" t="n"/>
      <c r="E19" s="43" t="n"/>
      <c r="F19" s="43" t="n"/>
      <c r="G19" s="46" t="n"/>
      <c r="H19" s="46" t="n"/>
      <c r="I19" s="30">
        <f>IF(G19&gt;0,G19-H19,"")</f>
        <v/>
      </c>
      <c r="J19" s="44" t="n"/>
      <c r="K19" s="61">
        <f>IF(F19="","",IF(I19&gt;0,MAX(0,TODAY()-F19),""))</f>
        <v/>
      </c>
      <c r="L19" s="45" t="n"/>
    </row>
    <row r="20" ht="18" customHeight="1">
      <c r="A20" s="42" t="n">
        <v>18</v>
      </c>
      <c r="B20" s="49" t="n"/>
      <c r="C20" s="49" t="n"/>
      <c r="D20" s="49" t="n"/>
      <c r="E20" s="47" t="n"/>
      <c r="F20" s="47" t="n"/>
      <c r="G20" s="50" t="n"/>
      <c r="H20" s="50" t="n"/>
      <c r="I20" s="33">
        <f>IF(G20&gt;0,G20-H20,"")</f>
        <v/>
      </c>
      <c r="J20" s="48" t="n"/>
      <c r="K20" s="62">
        <f>IF(F20="","",IF(I20&gt;0,MAX(0,TODAY()-F20),""))</f>
        <v/>
      </c>
      <c r="L20" s="49" t="n"/>
    </row>
    <row r="21" ht="18" customHeight="1">
      <c r="A21" s="42" t="n">
        <v>19</v>
      </c>
      <c r="B21" s="45" t="n"/>
      <c r="C21" s="45" t="n"/>
      <c r="D21" s="45" t="n"/>
      <c r="E21" s="43" t="n"/>
      <c r="F21" s="43" t="n"/>
      <c r="G21" s="46" t="n"/>
      <c r="H21" s="46" t="n"/>
      <c r="I21" s="30">
        <f>IF(G21&gt;0,G21-H21,"")</f>
        <v/>
      </c>
      <c r="J21" s="44" t="n"/>
      <c r="K21" s="61">
        <f>IF(F21="","",IF(I21&gt;0,MAX(0,TODAY()-F21),""))</f>
        <v/>
      </c>
      <c r="L21" s="45" t="n"/>
    </row>
    <row r="22" ht="18" customHeight="1">
      <c r="A22" s="42" t="n">
        <v>20</v>
      </c>
      <c r="B22" s="49" t="n"/>
      <c r="C22" s="49" t="n"/>
      <c r="D22" s="49" t="n"/>
      <c r="E22" s="47" t="n"/>
      <c r="F22" s="47" t="n"/>
      <c r="G22" s="50" t="n"/>
      <c r="H22" s="50" t="n"/>
      <c r="I22" s="33">
        <f>IF(G22&gt;0,G22-H22,"")</f>
        <v/>
      </c>
      <c r="J22" s="48" t="n"/>
      <c r="K22" s="62">
        <f>IF(F22="","",IF(I22&gt;0,MAX(0,TODAY()-F22),""))</f>
        <v/>
      </c>
      <c r="L22" s="49" t="n"/>
    </row>
    <row r="23" ht="18" customHeight="1">
      <c r="A23" s="42" t="n">
        <v>21</v>
      </c>
      <c r="B23" s="45" t="n"/>
      <c r="C23" s="45" t="n"/>
      <c r="D23" s="45" t="n"/>
      <c r="E23" s="43" t="n"/>
      <c r="F23" s="43" t="n"/>
      <c r="G23" s="46" t="n"/>
      <c r="H23" s="46" t="n"/>
      <c r="I23" s="30">
        <f>IF(G23&gt;0,G23-H23,"")</f>
        <v/>
      </c>
      <c r="J23" s="44" t="n"/>
      <c r="K23" s="61">
        <f>IF(F23="","",IF(I23&gt;0,MAX(0,TODAY()-F23),""))</f>
        <v/>
      </c>
      <c r="L23" s="45" t="n"/>
    </row>
    <row r="24" ht="18" customHeight="1">
      <c r="A24" s="42" t="n">
        <v>22</v>
      </c>
      <c r="B24" s="49" t="n"/>
      <c r="C24" s="49" t="n"/>
      <c r="D24" s="49" t="n"/>
      <c r="E24" s="47" t="n"/>
      <c r="F24" s="47" t="n"/>
      <c r="G24" s="50" t="n"/>
      <c r="H24" s="50" t="n"/>
      <c r="I24" s="33">
        <f>IF(G24&gt;0,G24-H24,"")</f>
        <v/>
      </c>
      <c r="J24" s="48" t="n"/>
      <c r="K24" s="62">
        <f>IF(F24="","",IF(I24&gt;0,MAX(0,TODAY()-F24),""))</f>
        <v/>
      </c>
      <c r="L24" s="49" t="n"/>
    </row>
    <row r="25" ht="18" customHeight="1">
      <c r="A25" s="42" t="n">
        <v>23</v>
      </c>
      <c r="B25" s="45" t="n"/>
      <c r="C25" s="45" t="n"/>
      <c r="D25" s="45" t="n"/>
      <c r="E25" s="43" t="n"/>
      <c r="F25" s="43" t="n"/>
      <c r="G25" s="46" t="n"/>
      <c r="H25" s="46" t="n"/>
      <c r="I25" s="30">
        <f>IF(G25&gt;0,G25-H25,"")</f>
        <v/>
      </c>
      <c r="J25" s="44" t="n"/>
      <c r="K25" s="61">
        <f>IF(F25="","",IF(I25&gt;0,MAX(0,TODAY()-F25),""))</f>
        <v/>
      </c>
      <c r="L25" s="45" t="n"/>
    </row>
    <row r="26" ht="18" customHeight="1">
      <c r="A26" s="42" t="n">
        <v>24</v>
      </c>
      <c r="B26" s="49" t="n"/>
      <c r="C26" s="49" t="n"/>
      <c r="D26" s="49" t="n"/>
      <c r="E26" s="47" t="n"/>
      <c r="F26" s="47" t="n"/>
      <c r="G26" s="50" t="n"/>
      <c r="H26" s="50" t="n"/>
      <c r="I26" s="33">
        <f>IF(G26&gt;0,G26-H26,"")</f>
        <v/>
      </c>
      <c r="J26" s="48" t="n"/>
      <c r="K26" s="62">
        <f>IF(F26="","",IF(I26&gt;0,MAX(0,TODAY()-F26),""))</f>
        <v/>
      </c>
      <c r="L26" s="49" t="n"/>
    </row>
    <row r="27" ht="18" customHeight="1">
      <c r="A27" s="42" t="n">
        <v>25</v>
      </c>
      <c r="B27" s="45" t="n"/>
      <c r="C27" s="45" t="n"/>
      <c r="D27" s="45" t="n"/>
      <c r="E27" s="43" t="n"/>
      <c r="F27" s="43" t="n"/>
      <c r="G27" s="46" t="n"/>
      <c r="H27" s="46" t="n"/>
      <c r="I27" s="30">
        <f>IF(G27&gt;0,G27-H27,"")</f>
        <v/>
      </c>
      <c r="J27" s="44" t="n"/>
      <c r="K27" s="61">
        <f>IF(F27="","",IF(I27&gt;0,MAX(0,TODAY()-F27),""))</f>
        <v/>
      </c>
      <c r="L27" s="45" t="n"/>
    </row>
    <row r="28" ht="18" customHeight="1">
      <c r="A28" s="42" t="n">
        <v>26</v>
      </c>
      <c r="B28" s="49" t="n"/>
      <c r="C28" s="49" t="n"/>
      <c r="D28" s="49" t="n"/>
      <c r="E28" s="47" t="n"/>
      <c r="F28" s="47" t="n"/>
      <c r="G28" s="50" t="n"/>
      <c r="H28" s="50" t="n"/>
      <c r="I28" s="33">
        <f>IF(G28&gt;0,G28-H28,"")</f>
        <v/>
      </c>
      <c r="J28" s="48" t="n"/>
      <c r="K28" s="62">
        <f>IF(F28="","",IF(I28&gt;0,MAX(0,TODAY()-F28),""))</f>
        <v/>
      </c>
      <c r="L28" s="49" t="n"/>
    </row>
    <row r="29" ht="18" customHeight="1">
      <c r="A29" s="42" t="n">
        <v>27</v>
      </c>
      <c r="B29" s="45" t="n"/>
      <c r="C29" s="45" t="n"/>
      <c r="D29" s="45" t="n"/>
      <c r="E29" s="43" t="n"/>
      <c r="F29" s="43" t="n"/>
      <c r="G29" s="46" t="n"/>
      <c r="H29" s="46" t="n"/>
      <c r="I29" s="30">
        <f>IF(G29&gt;0,G29-H29,"")</f>
        <v/>
      </c>
      <c r="J29" s="44" t="n"/>
      <c r="K29" s="61">
        <f>IF(F29="","",IF(I29&gt;0,MAX(0,TODAY()-F29),""))</f>
        <v/>
      </c>
      <c r="L29" s="45" t="n"/>
    </row>
    <row r="30" ht="18" customHeight="1">
      <c r="A30" s="42" t="n">
        <v>28</v>
      </c>
      <c r="B30" s="49" t="n"/>
      <c r="C30" s="49" t="n"/>
      <c r="D30" s="49" t="n"/>
      <c r="E30" s="47" t="n"/>
      <c r="F30" s="47" t="n"/>
      <c r="G30" s="50" t="n"/>
      <c r="H30" s="50" t="n"/>
      <c r="I30" s="33">
        <f>IF(G30&gt;0,G30-H30,"")</f>
        <v/>
      </c>
      <c r="J30" s="48" t="n"/>
      <c r="K30" s="62">
        <f>IF(F30="","",IF(I30&gt;0,MAX(0,TODAY()-F30),""))</f>
        <v/>
      </c>
      <c r="L30" s="49" t="n"/>
    </row>
    <row r="31" ht="18" customHeight="1">
      <c r="A31" s="42" t="n">
        <v>29</v>
      </c>
      <c r="B31" s="45" t="n"/>
      <c r="C31" s="45" t="n"/>
      <c r="D31" s="45" t="n"/>
      <c r="E31" s="43" t="n"/>
      <c r="F31" s="43" t="n"/>
      <c r="G31" s="46" t="n"/>
      <c r="H31" s="46" t="n"/>
      <c r="I31" s="30">
        <f>IF(G31&gt;0,G31-H31,"")</f>
        <v/>
      </c>
      <c r="J31" s="44" t="n"/>
      <c r="K31" s="61">
        <f>IF(F31="","",IF(I31&gt;0,MAX(0,TODAY()-F31),""))</f>
        <v/>
      </c>
      <c r="L31" s="45" t="n"/>
    </row>
    <row r="32" ht="18" customHeight="1">
      <c r="A32" s="42" t="n">
        <v>30</v>
      </c>
      <c r="B32" s="49" t="n"/>
      <c r="C32" s="49" t="n"/>
      <c r="D32" s="49" t="n"/>
      <c r="E32" s="47" t="n"/>
      <c r="F32" s="47" t="n"/>
      <c r="G32" s="50" t="n"/>
      <c r="H32" s="50" t="n"/>
      <c r="I32" s="33">
        <f>IF(G32&gt;0,G32-H32,"")</f>
        <v/>
      </c>
      <c r="J32" s="48" t="n"/>
      <c r="K32" s="62">
        <f>IF(F32="","",IF(I32&gt;0,MAX(0,TODAY()-F32),""))</f>
        <v/>
      </c>
      <c r="L32" s="49" t="n"/>
    </row>
    <row r="33" ht="18" customHeight="1">
      <c r="A33" s="42" t="n">
        <v>31</v>
      </c>
      <c r="B33" s="45" t="n"/>
      <c r="C33" s="45" t="n"/>
      <c r="D33" s="45" t="n"/>
      <c r="E33" s="43" t="n"/>
      <c r="F33" s="43" t="n"/>
      <c r="G33" s="46" t="n"/>
      <c r="H33" s="46" t="n"/>
      <c r="I33" s="30">
        <f>IF(G33&gt;0,G33-H33,"")</f>
        <v/>
      </c>
      <c r="J33" s="44" t="n"/>
      <c r="K33" s="61">
        <f>IF(F33="","",IF(I33&gt;0,MAX(0,TODAY()-F33),""))</f>
        <v/>
      </c>
      <c r="L33" s="45" t="n"/>
    </row>
    <row r="34" ht="18" customHeight="1">
      <c r="A34" s="42" t="n">
        <v>32</v>
      </c>
      <c r="B34" s="49" t="n"/>
      <c r="C34" s="49" t="n"/>
      <c r="D34" s="49" t="n"/>
      <c r="E34" s="47" t="n"/>
      <c r="F34" s="47" t="n"/>
      <c r="G34" s="50" t="n"/>
      <c r="H34" s="50" t="n"/>
      <c r="I34" s="33">
        <f>IF(G34&gt;0,G34-H34,"")</f>
        <v/>
      </c>
      <c r="J34" s="48" t="n"/>
      <c r="K34" s="62">
        <f>IF(F34="","",IF(I34&gt;0,MAX(0,TODAY()-F34),""))</f>
        <v/>
      </c>
      <c r="L34" s="49" t="n"/>
    </row>
    <row r="35" ht="18" customHeight="1">
      <c r="A35" s="42" t="n">
        <v>33</v>
      </c>
      <c r="B35" s="45" t="n"/>
      <c r="C35" s="45" t="n"/>
      <c r="D35" s="45" t="n"/>
      <c r="E35" s="43" t="n"/>
      <c r="F35" s="43" t="n"/>
      <c r="G35" s="46" t="n"/>
      <c r="H35" s="46" t="n"/>
      <c r="I35" s="30">
        <f>IF(G35&gt;0,G35-H35,"")</f>
        <v/>
      </c>
      <c r="J35" s="44" t="n"/>
      <c r="K35" s="61">
        <f>IF(F35="","",IF(I35&gt;0,MAX(0,TODAY()-F35),""))</f>
        <v/>
      </c>
      <c r="L35" s="45" t="n"/>
    </row>
    <row r="36" ht="18" customHeight="1">
      <c r="A36" s="42" t="n">
        <v>34</v>
      </c>
      <c r="B36" s="49" t="n"/>
      <c r="C36" s="49" t="n"/>
      <c r="D36" s="49" t="n"/>
      <c r="E36" s="47" t="n"/>
      <c r="F36" s="47" t="n"/>
      <c r="G36" s="50" t="n"/>
      <c r="H36" s="50" t="n"/>
      <c r="I36" s="33">
        <f>IF(G36&gt;0,G36-H36,"")</f>
        <v/>
      </c>
      <c r="J36" s="48" t="n"/>
      <c r="K36" s="62">
        <f>IF(F36="","",IF(I36&gt;0,MAX(0,TODAY()-F36),""))</f>
        <v/>
      </c>
      <c r="L36" s="49" t="n"/>
    </row>
    <row r="37" ht="18" customHeight="1">
      <c r="A37" s="42" t="n">
        <v>35</v>
      </c>
      <c r="B37" s="45" t="n"/>
      <c r="C37" s="45" t="n"/>
      <c r="D37" s="45" t="n"/>
      <c r="E37" s="43" t="n"/>
      <c r="F37" s="43" t="n"/>
      <c r="G37" s="46" t="n"/>
      <c r="H37" s="46" t="n"/>
      <c r="I37" s="30">
        <f>IF(G37&gt;0,G37-H37,"")</f>
        <v/>
      </c>
      <c r="J37" s="44" t="n"/>
      <c r="K37" s="61">
        <f>IF(F37="","",IF(I37&gt;0,MAX(0,TODAY()-F37),""))</f>
        <v/>
      </c>
      <c r="L37" s="45" t="n"/>
    </row>
    <row r="38" ht="18" customHeight="1">
      <c r="A38" s="42" t="n">
        <v>36</v>
      </c>
      <c r="B38" s="49" t="n"/>
      <c r="C38" s="49" t="n"/>
      <c r="D38" s="49" t="n"/>
      <c r="E38" s="47" t="n"/>
      <c r="F38" s="47" t="n"/>
      <c r="G38" s="50" t="n"/>
      <c r="H38" s="50" t="n"/>
      <c r="I38" s="33">
        <f>IF(G38&gt;0,G38-H38,"")</f>
        <v/>
      </c>
      <c r="J38" s="48" t="n"/>
      <c r="K38" s="62">
        <f>IF(F38="","",IF(I38&gt;0,MAX(0,TODAY()-F38),""))</f>
        <v/>
      </c>
      <c r="L38" s="49" t="n"/>
    </row>
    <row r="39" ht="18" customHeight="1">
      <c r="A39" s="42" t="n">
        <v>37</v>
      </c>
      <c r="B39" s="45" t="n"/>
      <c r="C39" s="45" t="n"/>
      <c r="D39" s="45" t="n"/>
      <c r="E39" s="43" t="n"/>
      <c r="F39" s="43" t="n"/>
      <c r="G39" s="46" t="n"/>
      <c r="H39" s="46" t="n"/>
      <c r="I39" s="30">
        <f>IF(G39&gt;0,G39-H39,"")</f>
        <v/>
      </c>
      <c r="J39" s="44" t="n"/>
      <c r="K39" s="61">
        <f>IF(F39="","",IF(I39&gt;0,MAX(0,TODAY()-F39),""))</f>
        <v/>
      </c>
      <c r="L39" s="45" t="n"/>
    </row>
    <row r="40" ht="18" customHeight="1">
      <c r="A40" s="42" t="n">
        <v>38</v>
      </c>
      <c r="B40" s="49" t="n"/>
      <c r="C40" s="49" t="n"/>
      <c r="D40" s="49" t="n"/>
      <c r="E40" s="47" t="n"/>
      <c r="F40" s="47" t="n"/>
      <c r="G40" s="50" t="n"/>
      <c r="H40" s="50" t="n"/>
      <c r="I40" s="33">
        <f>IF(G40&gt;0,G40-H40,"")</f>
        <v/>
      </c>
      <c r="J40" s="48" t="n"/>
      <c r="K40" s="62">
        <f>IF(F40="","",IF(I40&gt;0,MAX(0,TODAY()-F40),""))</f>
        <v/>
      </c>
      <c r="L40" s="49" t="n"/>
    </row>
    <row r="41" ht="18" customHeight="1">
      <c r="A41" s="42" t="n">
        <v>39</v>
      </c>
      <c r="B41" s="45" t="n"/>
      <c r="C41" s="45" t="n"/>
      <c r="D41" s="45" t="n"/>
      <c r="E41" s="43" t="n"/>
      <c r="F41" s="43" t="n"/>
      <c r="G41" s="46" t="n"/>
      <c r="H41" s="46" t="n"/>
      <c r="I41" s="30">
        <f>IF(G41&gt;0,G41-H41,"")</f>
        <v/>
      </c>
      <c r="J41" s="44" t="n"/>
      <c r="K41" s="61">
        <f>IF(F41="","",IF(I41&gt;0,MAX(0,TODAY()-F41),""))</f>
        <v/>
      </c>
      <c r="L41" s="45" t="n"/>
    </row>
    <row r="42" ht="18" customHeight="1">
      <c r="A42" s="42" t="n">
        <v>40</v>
      </c>
      <c r="B42" s="49" t="n"/>
      <c r="C42" s="49" t="n"/>
      <c r="D42" s="49" t="n"/>
      <c r="E42" s="47" t="n"/>
      <c r="F42" s="47" t="n"/>
      <c r="G42" s="50" t="n"/>
      <c r="H42" s="50" t="n"/>
      <c r="I42" s="33">
        <f>IF(G42&gt;0,G42-H42,"")</f>
        <v/>
      </c>
      <c r="J42" s="48" t="n"/>
      <c r="K42" s="62">
        <f>IF(F42="","",IF(I42&gt;0,MAX(0,TODAY()-F42),""))</f>
        <v/>
      </c>
      <c r="L42" s="49" t="n"/>
    </row>
    <row r="43" ht="18" customHeight="1">
      <c r="A43" s="42" t="n">
        <v>41</v>
      </c>
      <c r="B43" s="45" t="n"/>
      <c r="C43" s="45" t="n"/>
      <c r="D43" s="45" t="n"/>
      <c r="E43" s="43" t="n"/>
      <c r="F43" s="43" t="n"/>
      <c r="G43" s="46" t="n"/>
      <c r="H43" s="46" t="n"/>
      <c r="I43" s="30">
        <f>IF(G43&gt;0,G43-H43,"")</f>
        <v/>
      </c>
      <c r="J43" s="44" t="n"/>
      <c r="K43" s="61">
        <f>IF(F43="","",IF(I43&gt;0,MAX(0,TODAY()-F43),""))</f>
        <v/>
      </c>
      <c r="L43" s="45" t="n"/>
    </row>
    <row r="44" ht="18" customHeight="1">
      <c r="A44" s="42" t="n">
        <v>42</v>
      </c>
      <c r="B44" s="49" t="n"/>
      <c r="C44" s="49" t="n"/>
      <c r="D44" s="49" t="n"/>
      <c r="E44" s="47" t="n"/>
      <c r="F44" s="47" t="n"/>
      <c r="G44" s="50" t="n"/>
      <c r="H44" s="50" t="n"/>
      <c r="I44" s="33">
        <f>IF(G44&gt;0,G44-H44,"")</f>
        <v/>
      </c>
      <c r="J44" s="48" t="n"/>
      <c r="K44" s="62">
        <f>IF(F44="","",IF(I44&gt;0,MAX(0,TODAY()-F44),""))</f>
        <v/>
      </c>
      <c r="L44" s="49" t="n"/>
    </row>
    <row r="45" ht="18" customHeight="1">
      <c r="A45" s="42" t="n">
        <v>43</v>
      </c>
      <c r="B45" s="45" t="n"/>
      <c r="C45" s="45" t="n"/>
      <c r="D45" s="45" t="n"/>
      <c r="E45" s="43" t="n"/>
      <c r="F45" s="43" t="n"/>
      <c r="G45" s="46" t="n"/>
      <c r="H45" s="46" t="n"/>
      <c r="I45" s="30">
        <f>IF(G45&gt;0,G45-H45,"")</f>
        <v/>
      </c>
      <c r="J45" s="44" t="n"/>
      <c r="K45" s="61">
        <f>IF(F45="","",IF(I45&gt;0,MAX(0,TODAY()-F45),""))</f>
        <v/>
      </c>
      <c r="L45" s="45" t="n"/>
    </row>
    <row r="46" ht="18" customHeight="1">
      <c r="A46" s="42" t="n">
        <v>44</v>
      </c>
      <c r="B46" s="49" t="n"/>
      <c r="C46" s="49" t="n"/>
      <c r="D46" s="49" t="n"/>
      <c r="E46" s="47" t="n"/>
      <c r="F46" s="47" t="n"/>
      <c r="G46" s="50" t="n"/>
      <c r="H46" s="50" t="n"/>
      <c r="I46" s="33">
        <f>IF(G46&gt;0,G46-H46,"")</f>
        <v/>
      </c>
      <c r="J46" s="48" t="n"/>
      <c r="K46" s="62">
        <f>IF(F46="","",IF(I46&gt;0,MAX(0,TODAY()-F46),""))</f>
        <v/>
      </c>
      <c r="L46" s="49" t="n"/>
    </row>
    <row r="47" ht="18" customHeight="1">
      <c r="A47" s="42" t="n">
        <v>45</v>
      </c>
      <c r="B47" s="45" t="n"/>
      <c r="C47" s="45" t="n"/>
      <c r="D47" s="45" t="n"/>
      <c r="E47" s="43" t="n"/>
      <c r="F47" s="43" t="n"/>
      <c r="G47" s="46" t="n"/>
      <c r="H47" s="46" t="n"/>
      <c r="I47" s="30">
        <f>IF(G47&gt;0,G47-H47,"")</f>
        <v/>
      </c>
      <c r="J47" s="44" t="n"/>
      <c r="K47" s="61">
        <f>IF(F47="","",IF(I47&gt;0,MAX(0,TODAY()-F47),""))</f>
        <v/>
      </c>
      <c r="L47" s="45" t="n"/>
    </row>
    <row r="48" ht="18" customHeight="1">
      <c r="A48" s="42" t="n">
        <v>46</v>
      </c>
      <c r="B48" s="49" t="n"/>
      <c r="C48" s="49" t="n"/>
      <c r="D48" s="49" t="n"/>
      <c r="E48" s="47" t="n"/>
      <c r="F48" s="47" t="n"/>
      <c r="G48" s="50" t="n"/>
      <c r="H48" s="50" t="n"/>
      <c r="I48" s="33">
        <f>IF(G48&gt;0,G48-H48,"")</f>
        <v/>
      </c>
      <c r="J48" s="48" t="n"/>
      <c r="K48" s="62">
        <f>IF(F48="","",IF(I48&gt;0,MAX(0,TODAY()-F48),""))</f>
        <v/>
      </c>
      <c r="L48" s="49" t="n"/>
    </row>
    <row r="49" ht="18" customHeight="1">
      <c r="A49" s="42" t="n">
        <v>47</v>
      </c>
      <c r="B49" s="45" t="n"/>
      <c r="C49" s="45" t="n"/>
      <c r="D49" s="45" t="n"/>
      <c r="E49" s="43" t="n"/>
      <c r="F49" s="43" t="n"/>
      <c r="G49" s="46" t="n"/>
      <c r="H49" s="46" t="n"/>
      <c r="I49" s="30">
        <f>IF(G49&gt;0,G49-H49,"")</f>
        <v/>
      </c>
      <c r="J49" s="44" t="n"/>
      <c r="K49" s="61">
        <f>IF(F49="","",IF(I49&gt;0,MAX(0,TODAY()-F49),""))</f>
        <v/>
      </c>
      <c r="L49" s="45" t="n"/>
    </row>
    <row r="50" ht="18" customHeight="1">
      <c r="A50" s="42" t="n">
        <v>48</v>
      </c>
      <c r="B50" s="49" t="n"/>
      <c r="C50" s="49" t="n"/>
      <c r="D50" s="49" t="n"/>
      <c r="E50" s="47" t="n"/>
      <c r="F50" s="47" t="n"/>
      <c r="G50" s="50" t="n"/>
      <c r="H50" s="50" t="n"/>
      <c r="I50" s="33">
        <f>IF(G50&gt;0,G50-H50,"")</f>
        <v/>
      </c>
      <c r="J50" s="48" t="n"/>
      <c r="K50" s="62">
        <f>IF(F50="","",IF(I50&gt;0,MAX(0,TODAY()-F50),""))</f>
        <v/>
      </c>
      <c r="L50" s="49" t="n"/>
    </row>
    <row r="51" ht="18" customHeight="1">
      <c r="A51" s="42" t="n">
        <v>49</v>
      </c>
      <c r="B51" s="45" t="n"/>
      <c r="C51" s="45" t="n"/>
      <c r="D51" s="45" t="n"/>
      <c r="E51" s="43" t="n"/>
      <c r="F51" s="43" t="n"/>
      <c r="G51" s="46" t="n"/>
      <c r="H51" s="46" t="n"/>
      <c r="I51" s="30">
        <f>IF(G51&gt;0,G51-H51,"")</f>
        <v/>
      </c>
      <c r="J51" s="44" t="n"/>
      <c r="K51" s="61">
        <f>IF(F51="","",IF(I51&gt;0,MAX(0,TODAY()-F51),""))</f>
        <v/>
      </c>
      <c r="L51" s="45" t="n"/>
    </row>
    <row r="52" ht="18" customHeight="1">
      <c r="A52" s="42" t="n">
        <v>50</v>
      </c>
      <c r="B52" s="49" t="n"/>
      <c r="C52" s="49" t="n"/>
      <c r="D52" s="49" t="n"/>
      <c r="E52" s="47" t="n"/>
      <c r="F52" s="47" t="n"/>
      <c r="G52" s="50" t="n"/>
      <c r="H52" s="50" t="n"/>
      <c r="I52" s="33">
        <f>IF(G52&gt;0,G52-H52,"")</f>
        <v/>
      </c>
      <c r="J52" s="48" t="n"/>
      <c r="K52" s="62">
        <f>IF(F52="","",IF(I52&gt;0,MAX(0,TODAY()-F52),""))</f>
        <v/>
      </c>
      <c r="L52" s="49" t="n"/>
    </row>
    <row r="53" ht="18" customHeight="1">
      <c r="A53" s="42" t="n">
        <v>51</v>
      </c>
      <c r="B53" s="45" t="n"/>
      <c r="C53" s="45" t="n"/>
      <c r="D53" s="45" t="n"/>
      <c r="E53" s="43" t="n"/>
      <c r="F53" s="43" t="n"/>
      <c r="G53" s="46" t="n"/>
      <c r="H53" s="46" t="n"/>
      <c r="I53" s="30">
        <f>IF(G53&gt;0,G53-H53,"")</f>
        <v/>
      </c>
      <c r="J53" s="44" t="n"/>
      <c r="K53" s="61">
        <f>IF(F53="","",IF(I53&gt;0,MAX(0,TODAY()-F53),""))</f>
        <v/>
      </c>
      <c r="L53" s="45" t="n"/>
    </row>
    <row r="54" ht="18" customHeight="1">
      <c r="A54" s="42" t="n">
        <v>52</v>
      </c>
      <c r="B54" s="49" t="n"/>
      <c r="C54" s="49" t="n"/>
      <c r="D54" s="49" t="n"/>
      <c r="E54" s="47" t="n"/>
      <c r="F54" s="47" t="n"/>
      <c r="G54" s="50" t="n"/>
      <c r="H54" s="50" t="n"/>
      <c r="I54" s="33">
        <f>IF(G54&gt;0,G54-H54,"")</f>
        <v/>
      </c>
      <c r="J54" s="48" t="n"/>
      <c r="K54" s="62">
        <f>IF(F54="","",IF(I54&gt;0,MAX(0,TODAY()-F54),""))</f>
        <v/>
      </c>
      <c r="L54" s="49" t="n"/>
    </row>
    <row r="55" ht="18" customHeight="1">
      <c r="A55" s="42" t="n">
        <v>53</v>
      </c>
      <c r="B55" s="45" t="n"/>
      <c r="C55" s="45" t="n"/>
      <c r="D55" s="45" t="n"/>
      <c r="E55" s="43" t="n"/>
      <c r="F55" s="43" t="n"/>
      <c r="G55" s="46" t="n"/>
      <c r="H55" s="46" t="n"/>
      <c r="I55" s="30">
        <f>IF(G55&gt;0,G55-H55,"")</f>
        <v/>
      </c>
      <c r="J55" s="44" t="n"/>
      <c r="K55" s="61">
        <f>IF(F55="","",IF(I55&gt;0,MAX(0,TODAY()-F55),""))</f>
        <v/>
      </c>
      <c r="L55" s="45" t="n"/>
    </row>
    <row r="56" ht="18" customHeight="1">
      <c r="A56" s="42" t="n">
        <v>54</v>
      </c>
      <c r="B56" s="49" t="n"/>
      <c r="C56" s="49" t="n"/>
      <c r="D56" s="49" t="n"/>
      <c r="E56" s="47" t="n"/>
      <c r="F56" s="47" t="n"/>
      <c r="G56" s="50" t="n"/>
      <c r="H56" s="50" t="n"/>
      <c r="I56" s="33">
        <f>IF(G56&gt;0,G56-H56,"")</f>
        <v/>
      </c>
      <c r="J56" s="48" t="n"/>
      <c r="K56" s="62">
        <f>IF(F56="","",IF(I56&gt;0,MAX(0,TODAY()-F56),""))</f>
        <v/>
      </c>
      <c r="L56" s="49" t="n"/>
    </row>
    <row r="57" ht="18" customHeight="1">
      <c r="A57" s="42" t="n">
        <v>55</v>
      </c>
      <c r="B57" s="45" t="n"/>
      <c r="C57" s="45" t="n"/>
      <c r="D57" s="45" t="n"/>
      <c r="E57" s="43" t="n"/>
      <c r="F57" s="43" t="n"/>
      <c r="G57" s="46" t="n"/>
      <c r="H57" s="46" t="n"/>
      <c r="I57" s="30">
        <f>IF(G57&gt;0,G57-H57,"")</f>
        <v/>
      </c>
      <c r="J57" s="44" t="n"/>
      <c r="K57" s="61">
        <f>IF(F57="","",IF(I57&gt;0,MAX(0,TODAY()-F57),""))</f>
        <v/>
      </c>
      <c r="L57" s="45" t="n"/>
    </row>
    <row r="58" ht="18" customHeight="1">
      <c r="A58" s="42" t="n">
        <v>56</v>
      </c>
      <c r="B58" s="49" t="n"/>
      <c r="C58" s="49" t="n"/>
      <c r="D58" s="49" t="n"/>
      <c r="E58" s="47" t="n"/>
      <c r="F58" s="47" t="n"/>
      <c r="G58" s="50" t="n"/>
      <c r="H58" s="50" t="n"/>
      <c r="I58" s="33">
        <f>IF(G58&gt;0,G58-H58,"")</f>
        <v/>
      </c>
      <c r="J58" s="48" t="n"/>
      <c r="K58" s="62">
        <f>IF(F58="","",IF(I58&gt;0,MAX(0,TODAY()-F58),""))</f>
        <v/>
      </c>
      <c r="L58" s="49" t="n"/>
    </row>
    <row r="59" ht="18" customHeight="1">
      <c r="A59" s="42" t="n">
        <v>57</v>
      </c>
      <c r="B59" s="45" t="n"/>
      <c r="C59" s="45" t="n"/>
      <c r="D59" s="45" t="n"/>
      <c r="E59" s="43" t="n"/>
      <c r="F59" s="43" t="n"/>
      <c r="G59" s="46" t="n"/>
      <c r="H59" s="46" t="n"/>
      <c r="I59" s="30">
        <f>IF(G59&gt;0,G59-H59,"")</f>
        <v/>
      </c>
      <c r="J59" s="44" t="n"/>
      <c r="K59" s="61">
        <f>IF(F59="","",IF(I59&gt;0,MAX(0,TODAY()-F59),""))</f>
        <v/>
      </c>
      <c r="L59" s="45" t="n"/>
    </row>
    <row r="60" ht="18" customHeight="1">
      <c r="A60" s="42" t="n">
        <v>58</v>
      </c>
      <c r="B60" s="49" t="n"/>
      <c r="C60" s="49" t="n"/>
      <c r="D60" s="49" t="n"/>
      <c r="E60" s="47" t="n"/>
      <c r="F60" s="47" t="n"/>
      <c r="G60" s="50" t="n"/>
      <c r="H60" s="50" t="n"/>
      <c r="I60" s="33">
        <f>IF(G60&gt;0,G60-H60,"")</f>
        <v/>
      </c>
      <c r="J60" s="48" t="n"/>
      <c r="K60" s="62">
        <f>IF(F60="","",IF(I60&gt;0,MAX(0,TODAY()-F60),""))</f>
        <v/>
      </c>
      <c r="L60" s="49" t="n"/>
    </row>
    <row r="61" ht="18" customHeight="1">
      <c r="A61" s="42" t="n">
        <v>59</v>
      </c>
      <c r="B61" s="45" t="n"/>
      <c r="C61" s="45" t="n"/>
      <c r="D61" s="45" t="n"/>
      <c r="E61" s="43" t="n"/>
      <c r="F61" s="43" t="n"/>
      <c r="G61" s="46" t="n"/>
      <c r="H61" s="46" t="n"/>
      <c r="I61" s="30">
        <f>IF(G61&gt;0,G61-H61,"")</f>
        <v/>
      </c>
      <c r="J61" s="44" t="n"/>
      <c r="K61" s="61">
        <f>IF(F61="","",IF(I61&gt;0,MAX(0,TODAY()-F61),""))</f>
        <v/>
      </c>
      <c r="L61" s="45" t="n"/>
    </row>
    <row r="62" ht="18" customHeight="1">
      <c r="A62" s="42" t="n">
        <v>60</v>
      </c>
      <c r="B62" s="49" t="n"/>
      <c r="C62" s="49" t="n"/>
      <c r="D62" s="49" t="n"/>
      <c r="E62" s="47" t="n"/>
      <c r="F62" s="47" t="n"/>
      <c r="G62" s="50" t="n"/>
      <c r="H62" s="50" t="n"/>
      <c r="I62" s="33">
        <f>IF(G62&gt;0,G62-H62,"")</f>
        <v/>
      </c>
      <c r="J62" s="48" t="n"/>
      <c r="K62" s="62">
        <f>IF(F62="","",IF(I62&gt;0,MAX(0,TODAY()-F62),""))</f>
        <v/>
      </c>
      <c r="L62" s="49" t="n"/>
    </row>
    <row r="63" ht="18" customHeight="1">
      <c r="A63" s="42" t="n">
        <v>61</v>
      </c>
      <c r="B63" s="45" t="n"/>
      <c r="C63" s="45" t="n"/>
      <c r="D63" s="45" t="n"/>
      <c r="E63" s="43" t="n"/>
      <c r="F63" s="43" t="n"/>
      <c r="G63" s="46" t="n"/>
      <c r="H63" s="46" t="n"/>
      <c r="I63" s="30">
        <f>IF(G63&gt;0,G63-H63,"")</f>
        <v/>
      </c>
      <c r="J63" s="44" t="n"/>
      <c r="K63" s="61">
        <f>IF(F63="","",IF(I63&gt;0,MAX(0,TODAY()-F63),""))</f>
        <v/>
      </c>
      <c r="L63" s="45" t="n"/>
    </row>
    <row r="64" ht="18" customHeight="1">
      <c r="A64" s="42" t="n">
        <v>62</v>
      </c>
      <c r="B64" s="49" t="n"/>
      <c r="C64" s="49" t="n"/>
      <c r="D64" s="49" t="n"/>
      <c r="E64" s="47" t="n"/>
      <c r="F64" s="47" t="n"/>
      <c r="G64" s="50" t="n"/>
      <c r="H64" s="50" t="n"/>
      <c r="I64" s="33">
        <f>IF(G64&gt;0,G64-H64,"")</f>
        <v/>
      </c>
      <c r="J64" s="48" t="n"/>
      <c r="K64" s="62">
        <f>IF(F64="","",IF(I64&gt;0,MAX(0,TODAY()-F64),""))</f>
        <v/>
      </c>
      <c r="L64" s="49" t="n"/>
    </row>
    <row r="65" ht="18" customHeight="1">
      <c r="A65" s="42" t="n">
        <v>63</v>
      </c>
      <c r="B65" s="45" t="n"/>
      <c r="C65" s="45" t="n"/>
      <c r="D65" s="45" t="n"/>
      <c r="E65" s="43" t="n"/>
      <c r="F65" s="43" t="n"/>
      <c r="G65" s="46" t="n"/>
      <c r="H65" s="46" t="n"/>
      <c r="I65" s="30">
        <f>IF(G65&gt;0,G65-H65,"")</f>
        <v/>
      </c>
      <c r="J65" s="44" t="n"/>
      <c r="K65" s="61">
        <f>IF(F65="","",IF(I65&gt;0,MAX(0,TODAY()-F65),""))</f>
        <v/>
      </c>
      <c r="L65" s="45" t="n"/>
    </row>
    <row r="66" ht="18" customHeight="1">
      <c r="A66" s="42" t="n">
        <v>64</v>
      </c>
      <c r="B66" s="49" t="n"/>
      <c r="C66" s="49" t="n"/>
      <c r="D66" s="49" t="n"/>
      <c r="E66" s="47" t="n"/>
      <c r="F66" s="47" t="n"/>
      <c r="G66" s="50" t="n"/>
      <c r="H66" s="50" t="n"/>
      <c r="I66" s="33">
        <f>IF(G66&gt;0,G66-H66,"")</f>
        <v/>
      </c>
      <c r="J66" s="48" t="n"/>
      <c r="K66" s="62">
        <f>IF(F66="","",IF(I66&gt;0,MAX(0,TODAY()-F66),""))</f>
        <v/>
      </c>
      <c r="L66" s="49" t="n"/>
    </row>
    <row r="67" ht="18" customHeight="1">
      <c r="A67" s="42" t="n">
        <v>65</v>
      </c>
      <c r="B67" s="45" t="n"/>
      <c r="C67" s="45" t="n"/>
      <c r="D67" s="45" t="n"/>
      <c r="E67" s="43" t="n"/>
      <c r="F67" s="43" t="n"/>
      <c r="G67" s="46" t="n"/>
      <c r="H67" s="46" t="n"/>
      <c r="I67" s="30">
        <f>IF(G67&gt;0,G67-H67,"")</f>
        <v/>
      </c>
      <c r="J67" s="44" t="n"/>
      <c r="K67" s="61">
        <f>IF(F67="","",IF(I67&gt;0,MAX(0,TODAY()-F67),""))</f>
        <v/>
      </c>
      <c r="L67" s="45" t="n"/>
    </row>
    <row r="68" ht="18" customHeight="1">
      <c r="A68" s="42" t="n">
        <v>66</v>
      </c>
      <c r="B68" s="49" t="n"/>
      <c r="C68" s="49" t="n"/>
      <c r="D68" s="49" t="n"/>
      <c r="E68" s="47" t="n"/>
      <c r="F68" s="47" t="n"/>
      <c r="G68" s="50" t="n"/>
      <c r="H68" s="50" t="n"/>
      <c r="I68" s="33">
        <f>IF(G68&gt;0,G68-H68,"")</f>
        <v/>
      </c>
      <c r="J68" s="48" t="n"/>
      <c r="K68" s="62">
        <f>IF(F68="","",IF(I68&gt;0,MAX(0,TODAY()-F68),""))</f>
        <v/>
      </c>
      <c r="L68" s="49" t="n"/>
    </row>
    <row r="69" ht="18" customHeight="1">
      <c r="A69" s="42" t="n">
        <v>67</v>
      </c>
      <c r="B69" s="45" t="n"/>
      <c r="C69" s="45" t="n"/>
      <c r="D69" s="45" t="n"/>
      <c r="E69" s="43" t="n"/>
      <c r="F69" s="43" t="n"/>
      <c r="G69" s="46" t="n"/>
      <c r="H69" s="46" t="n"/>
      <c r="I69" s="30">
        <f>IF(G69&gt;0,G69-H69,"")</f>
        <v/>
      </c>
      <c r="J69" s="44" t="n"/>
      <c r="K69" s="61">
        <f>IF(F69="","",IF(I69&gt;0,MAX(0,TODAY()-F69),""))</f>
        <v/>
      </c>
      <c r="L69" s="45" t="n"/>
    </row>
    <row r="70" ht="18" customHeight="1">
      <c r="A70" s="42" t="n">
        <v>68</v>
      </c>
      <c r="B70" s="49" t="n"/>
      <c r="C70" s="49" t="n"/>
      <c r="D70" s="49" t="n"/>
      <c r="E70" s="47" t="n"/>
      <c r="F70" s="47" t="n"/>
      <c r="G70" s="50" t="n"/>
      <c r="H70" s="50" t="n"/>
      <c r="I70" s="33">
        <f>IF(G70&gt;0,G70-H70,"")</f>
        <v/>
      </c>
      <c r="J70" s="48" t="n"/>
      <c r="K70" s="62">
        <f>IF(F70="","",IF(I70&gt;0,MAX(0,TODAY()-F70),""))</f>
        <v/>
      </c>
      <c r="L70" s="49" t="n"/>
    </row>
    <row r="71" ht="18" customHeight="1">
      <c r="A71" s="42" t="n">
        <v>69</v>
      </c>
      <c r="B71" s="45" t="n"/>
      <c r="C71" s="45" t="n"/>
      <c r="D71" s="45" t="n"/>
      <c r="E71" s="43" t="n"/>
      <c r="F71" s="43" t="n"/>
      <c r="G71" s="46" t="n"/>
      <c r="H71" s="46" t="n"/>
      <c r="I71" s="30">
        <f>IF(G71&gt;0,G71-H71,"")</f>
        <v/>
      </c>
      <c r="J71" s="44" t="n"/>
      <c r="K71" s="61">
        <f>IF(F71="","",IF(I71&gt;0,MAX(0,TODAY()-F71),""))</f>
        <v/>
      </c>
      <c r="L71" s="45" t="n"/>
    </row>
    <row r="72" ht="18" customHeight="1">
      <c r="A72" s="42" t="n">
        <v>70</v>
      </c>
      <c r="B72" s="49" t="n"/>
      <c r="C72" s="49" t="n"/>
      <c r="D72" s="49" t="n"/>
      <c r="E72" s="47" t="n"/>
      <c r="F72" s="47" t="n"/>
      <c r="G72" s="50" t="n"/>
      <c r="H72" s="50" t="n"/>
      <c r="I72" s="33">
        <f>IF(G72&gt;0,G72-H72,"")</f>
        <v/>
      </c>
      <c r="J72" s="48" t="n"/>
      <c r="K72" s="62">
        <f>IF(F72="","",IF(I72&gt;0,MAX(0,TODAY()-F72),""))</f>
        <v/>
      </c>
      <c r="L72" s="49" t="n"/>
    </row>
    <row r="73" ht="18" customHeight="1">
      <c r="A73" s="42" t="n">
        <v>71</v>
      </c>
      <c r="B73" s="45" t="n"/>
      <c r="C73" s="45" t="n"/>
      <c r="D73" s="45" t="n"/>
      <c r="E73" s="43" t="n"/>
      <c r="F73" s="43" t="n"/>
      <c r="G73" s="46" t="n"/>
      <c r="H73" s="46" t="n"/>
      <c r="I73" s="30">
        <f>IF(G73&gt;0,G73-H73,"")</f>
        <v/>
      </c>
      <c r="J73" s="44" t="n"/>
      <c r="K73" s="61">
        <f>IF(F73="","",IF(I73&gt;0,MAX(0,TODAY()-F73),""))</f>
        <v/>
      </c>
      <c r="L73" s="45" t="n"/>
    </row>
    <row r="74" ht="18" customHeight="1">
      <c r="A74" s="42" t="n">
        <v>72</v>
      </c>
      <c r="B74" s="49" t="n"/>
      <c r="C74" s="49" t="n"/>
      <c r="D74" s="49" t="n"/>
      <c r="E74" s="47" t="n"/>
      <c r="F74" s="47" t="n"/>
      <c r="G74" s="50" t="n"/>
      <c r="H74" s="50" t="n"/>
      <c r="I74" s="33">
        <f>IF(G74&gt;0,G74-H74,"")</f>
        <v/>
      </c>
      <c r="J74" s="48" t="n"/>
      <c r="K74" s="62">
        <f>IF(F74="","",IF(I74&gt;0,MAX(0,TODAY()-F74),""))</f>
        <v/>
      </c>
      <c r="L74" s="49" t="n"/>
    </row>
    <row r="75" ht="18" customHeight="1">
      <c r="A75" s="42" t="n">
        <v>73</v>
      </c>
      <c r="B75" s="45" t="n"/>
      <c r="C75" s="45" t="n"/>
      <c r="D75" s="45" t="n"/>
      <c r="E75" s="43" t="n"/>
      <c r="F75" s="43" t="n"/>
      <c r="G75" s="46" t="n"/>
      <c r="H75" s="46" t="n"/>
      <c r="I75" s="30">
        <f>IF(G75&gt;0,G75-H75,"")</f>
        <v/>
      </c>
      <c r="J75" s="44" t="n"/>
      <c r="K75" s="61">
        <f>IF(F75="","",IF(I75&gt;0,MAX(0,TODAY()-F75),""))</f>
        <v/>
      </c>
      <c r="L75" s="45" t="n"/>
    </row>
    <row r="76" ht="18" customHeight="1">
      <c r="A76" s="42" t="n">
        <v>74</v>
      </c>
      <c r="B76" s="49" t="n"/>
      <c r="C76" s="49" t="n"/>
      <c r="D76" s="49" t="n"/>
      <c r="E76" s="47" t="n"/>
      <c r="F76" s="47" t="n"/>
      <c r="G76" s="50" t="n"/>
      <c r="H76" s="50" t="n"/>
      <c r="I76" s="33">
        <f>IF(G76&gt;0,G76-H76,"")</f>
        <v/>
      </c>
      <c r="J76" s="48" t="n"/>
      <c r="K76" s="62">
        <f>IF(F76="","",IF(I76&gt;0,MAX(0,TODAY()-F76),""))</f>
        <v/>
      </c>
      <c r="L76" s="49" t="n"/>
    </row>
    <row r="77" ht="18" customHeight="1">
      <c r="A77" s="42" t="n">
        <v>75</v>
      </c>
      <c r="B77" s="45" t="n"/>
      <c r="C77" s="45" t="n"/>
      <c r="D77" s="45" t="n"/>
      <c r="E77" s="43" t="n"/>
      <c r="F77" s="43" t="n"/>
      <c r="G77" s="46" t="n"/>
      <c r="H77" s="46" t="n"/>
      <c r="I77" s="30">
        <f>IF(G77&gt;0,G77-H77,"")</f>
        <v/>
      </c>
      <c r="J77" s="44" t="n"/>
      <c r="K77" s="61">
        <f>IF(F77="","",IF(I77&gt;0,MAX(0,TODAY()-F77),""))</f>
        <v/>
      </c>
      <c r="L77" s="45" t="n"/>
    </row>
    <row r="78" ht="18" customHeight="1">
      <c r="A78" s="42" t="n">
        <v>76</v>
      </c>
      <c r="B78" s="49" t="n"/>
      <c r="C78" s="49" t="n"/>
      <c r="D78" s="49" t="n"/>
      <c r="E78" s="47" t="n"/>
      <c r="F78" s="47" t="n"/>
      <c r="G78" s="50" t="n"/>
      <c r="H78" s="50" t="n"/>
      <c r="I78" s="33">
        <f>IF(G78&gt;0,G78-H78,"")</f>
        <v/>
      </c>
      <c r="J78" s="48" t="n"/>
      <c r="K78" s="62">
        <f>IF(F78="","",IF(I78&gt;0,MAX(0,TODAY()-F78),""))</f>
        <v/>
      </c>
      <c r="L78" s="49" t="n"/>
    </row>
    <row r="79" ht="18" customHeight="1">
      <c r="A79" s="42" t="n">
        <v>77</v>
      </c>
      <c r="B79" s="45" t="n"/>
      <c r="C79" s="45" t="n"/>
      <c r="D79" s="45" t="n"/>
      <c r="E79" s="43" t="n"/>
      <c r="F79" s="43" t="n"/>
      <c r="G79" s="46" t="n"/>
      <c r="H79" s="46" t="n"/>
      <c r="I79" s="30">
        <f>IF(G79&gt;0,G79-H79,"")</f>
        <v/>
      </c>
      <c r="J79" s="44" t="n"/>
      <c r="K79" s="61">
        <f>IF(F79="","",IF(I79&gt;0,MAX(0,TODAY()-F79),""))</f>
        <v/>
      </c>
      <c r="L79" s="45" t="n"/>
    </row>
    <row r="80" ht="18" customHeight="1">
      <c r="A80" s="42" t="n">
        <v>78</v>
      </c>
      <c r="B80" s="49" t="n"/>
      <c r="C80" s="49" t="n"/>
      <c r="D80" s="49" t="n"/>
      <c r="E80" s="47" t="n"/>
      <c r="F80" s="47" t="n"/>
      <c r="G80" s="50" t="n"/>
      <c r="H80" s="50" t="n"/>
      <c r="I80" s="33">
        <f>IF(G80&gt;0,G80-H80,"")</f>
        <v/>
      </c>
      <c r="J80" s="48" t="n"/>
      <c r="K80" s="62">
        <f>IF(F80="","",IF(I80&gt;0,MAX(0,TODAY()-F80),""))</f>
        <v/>
      </c>
      <c r="L80" s="49" t="n"/>
    </row>
    <row r="81" ht="18" customHeight="1">
      <c r="A81" s="42" t="n">
        <v>79</v>
      </c>
      <c r="B81" s="45" t="n"/>
      <c r="C81" s="45" t="n"/>
      <c r="D81" s="45" t="n"/>
      <c r="E81" s="43" t="n"/>
      <c r="F81" s="43" t="n"/>
      <c r="G81" s="46" t="n"/>
      <c r="H81" s="46" t="n"/>
      <c r="I81" s="30">
        <f>IF(G81&gt;0,G81-H81,"")</f>
        <v/>
      </c>
      <c r="J81" s="44" t="n"/>
      <c r="K81" s="61">
        <f>IF(F81="","",IF(I81&gt;0,MAX(0,TODAY()-F81),""))</f>
        <v/>
      </c>
      <c r="L81" s="45" t="n"/>
    </row>
    <row r="82" ht="18" customHeight="1">
      <c r="A82" s="42" t="n">
        <v>80</v>
      </c>
      <c r="B82" s="49" t="n"/>
      <c r="C82" s="49" t="n"/>
      <c r="D82" s="49" t="n"/>
      <c r="E82" s="47" t="n"/>
      <c r="F82" s="47" t="n"/>
      <c r="G82" s="50" t="n"/>
      <c r="H82" s="50" t="n"/>
      <c r="I82" s="33">
        <f>IF(G82&gt;0,G82-H82,"")</f>
        <v/>
      </c>
      <c r="J82" s="48" t="n"/>
      <c r="K82" s="62">
        <f>IF(F82="","",IF(I82&gt;0,MAX(0,TODAY()-F82),""))</f>
        <v/>
      </c>
      <c r="L82" s="49" t="n"/>
    </row>
    <row r="83" ht="18" customHeight="1">
      <c r="A83" s="42" t="n">
        <v>81</v>
      </c>
      <c r="B83" s="45" t="n"/>
      <c r="C83" s="45" t="n"/>
      <c r="D83" s="45" t="n"/>
      <c r="E83" s="43" t="n"/>
      <c r="F83" s="43" t="n"/>
      <c r="G83" s="46" t="n"/>
      <c r="H83" s="46" t="n"/>
      <c r="I83" s="30">
        <f>IF(G83&gt;0,G83-H83,"")</f>
        <v/>
      </c>
      <c r="J83" s="44" t="n"/>
      <c r="K83" s="61">
        <f>IF(F83="","",IF(I83&gt;0,MAX(0,TODAY()-F83),""))</f>
        <v/>
      </c>
      <c r="L83" s="45" t="n"/>
    </row>
    <row r="84" ht="18" customHeight="1">
      <c r="A84" s="42" t="n">
        <v>82</v>
      </c>
      <c r="B84" s="49" t="n"/>
      <c r="C84" s="49" t="n"/>
      <c r="D84" s="49" t="n"/>
      <c r="E84" s="47" t="n"/>
      <c r="F84" s="47" t="n"/>
      <c r="G84" s="50" t="n"/>
      <c r="H84" s="50" t="n"/>
      <c r="I84" s="33">
        <f>IF(G84&gt;0,G84-H84,"")</f>
        <v/>
      </c>
      <c r="J84" s="48" t="n"/>
      <c r="K84" s="62">
        <f>IF(F84="","",IF(I84&gt;0,MAX(0,TODAY()-F84),""))</f>
        <v/>
      </c>
      <c r="L84" s="49" t="n"/>
    </row>
    <row r="85" ht="18" customHeight="1">
      <c r="A85" s="42" t="n">
        <v>83</v>
      </c>
      <c r="B85" s="45" t="n"/>
      <c r="C85" s="45" t="n"/>
      <c r="D85" s="45" t="n"/>
      <c r="E85" s="43" t="n"/>
      <c r="F85" s="43" t="n"/>
      <c r="G85" s="46" t="n"/>
      <c r="H85" s="46" t="n"/>
      <c r="I85" s="30">
        <f>IF(G85&gt;0,G85-H85,"")</f>
        <v/>
      </c>
      <c r="J85" s="44" t="n"/>
      <c r="K85" s="61">
        <f>IF(F85="","",IF(I85&gt;0,MAX(0,TODAY()-F85),""))</f>
        <v/>
      </c>
      <c r="L85" s="45" t="n"/>
    </row>
    <row r="86" ht="18" customHeight="1">
      <c r="A86" s="42" t="n">
        <v>84</v>
      </c>
      <c r="B86" s="49" t="n"/>
      <c r="C86" s="49" t="n"/>
      <c r="D86" s="49" t="n"/>
      <c r="E86" s="47" t="n"/>
      <c r="F86" s="47" t="n"/>
      <c r="G86" s="50" t="n"/>
      <c r="H86" s="50" t="n"/>
      <c r="I86" s="33">
        <f>IF(G86&gt;0,G86-H86,"")</f>
        <v/>
      </c>
      <c r="J86" s="48" t="n"/>
      <c r="K86" s="62">
        <f>IF(F86="","",IF(I86&gt;0,MAX(0,TODAY()-F86),""))</f>
        <v/>
      </c>
      <c r="L86" s="49" t="n"/>
    </row>
    <row r="87" ht="18" customHeight="1">
      <c r="A87" s="42" t="n">
        <v>85</v>
      </c>
      <c r="B87" s="45" t="n"/>
      <c r="C87" s="45" t="n"/>
      <c r="D87" s="45" t="n"/>
      <c r="E87" s="43" t="n"/>
      <c r="F87" s="43" t="n"/>
      <c r="G87" s="46" t="n"/>
      <c r="H87" s="46" t="n"/>
      <c r="I87" s="30">
        <f>IF(G87&gt;0,G87-H87,"")</f>
        <v/>
      </c>
      <c r="J87" s="44" t="n"/>
      <c r="K87" s="61">
        <f>IF(F87="","",IF(I87&gt;0,MAX(0,TODAY()-F87),""))</f>
        <v/>
      </c>
      <c r="L87" s="45" t="n"/>
    </row>
    <row r="88" ht="18" customHeight="1">
      <c r="A88" s="42" t="n">
        <v>86</v>
      </c>
      <c r="B88" s="49" t="n"/>
      <c r="C88" s="49" t="n"/>
      <c r="D88" s="49" t="n"/>
      <c r="E88" s="47" t="n"/>
      <c r="F88" s="47" t="n"/>
      <c r="G88" s="50" t="n"/>
      <c r="H88" s="50" t="n"/>
      <c r="I88" s="33">
        <f>IF(G88&gt;0,G88-H88,"")</f>
        <v/>
      </c>
      <c r="J88" s="48" t="n"/>
      <c r="K88" s="62">
        <f>IF(F88="","",IF(I88&gt;0,MAX(0,TODAY()-F88),""))</f>
        <v/>
      </c>
      <c r="L88" s="49" t="n"/>
    </row>
    <row r="89" ht="18" customHeight="1">
      <c r="A89" s="42" t="n">
        <v>87</v>
      </c>
      <c r="B89" s="45" t="n"/>
      <c r="C89" s="45" t="n"/>
      <c r="D89" s="45" t="n"/>
      <c r="E89" s="43" t="n"/>
      <c r="F89" s="43" t="n"/>
      <c r="G89" s="46" t="n"/>
      <c r="H89" s="46" t="n"/>
      <c r="I89" s="30">
        <f>IF(G89&gt;0,G89-H89,"")</f>
        <v/>
      </c>
      <c r="J89" s="44" t="n"/>
      <c r="K89" s="61">
        <f>IF(F89="","",IF(I89&gt;0,MAX(0,TODAY()-F89),""))</f>
        <v/>
      </c>
      <c r="L89" s="45" t="n"/>
    </row>
    <row r="90" ht="18" customHeight="1">
      <c r="A90" s="42" t="n">
        <v>88</v>
      </c>
      <c r="B90" s="49" t="n"/>
      <c r="C90" s="49" t="n"/>
      <c r="D90" s="49" t="n"/>
      <c r="E90" s="47" t="n"/>
      <c r="F90" s="47" t="n"/>
      <c r="G90" s="50" t="n"/>
      <c r="H90" s="50" t="n"/>
      <c r="I90" s="33">
        <f>IF(G90&gt;0,G90-H90,"")</f>
        <v/>
      </c>
      <c r="J90" s="48" t="n"/>
      <c r="K90" s="62">
        <f>IF(F90="","",IF(I90&gt;0,MAX(0,TODAY()-F90),""))</f>
        <v/>
      </c>
      <c r="L90" s="49" t="n"/>
    </row>
    <row r="91" ht="18" customHeight="1">
      <c r="A91" s="42" t="n">
        <v>89</v>
      </c>
      <c r="B91" s="45" t="n"/>
      <c r="C91" s="45" t="n"/>
      <c r="D91" s="45" t="n"/>
      <c r="E91" s="43" t="n"/>
      <c r="F91" s="43" t="n"/>
      <c r="G91" s="46" t="n"/>
      <c r="H91" s="46" t="n"/>
      <c r="I91" s="30">
        <f>IF(G91&gt;0,G91-H91,"")</f>
        <v/>
      </c>
      <c r="J91" s="44" t="n"/>
      <c r="K91" s="61">
        <f>IF(F91="","",IF(I91&gt;0,MAX(0,TODAY()-F91),""))</f>
        <v/>
      </c>
      <c r="L91" s="45" t="n"/>
    </row>
    <row r="92" ht="18" customHeight="1">
      <c r="A92" s="42" t="n">
        <v>90</v>
      </c>
      <c r="B92" s="49" t="n"/>
      <c r="C92" s="49" t="n"/>
      <c r="D92" s="49" t="n"/>
      <c r="E92" s="47" t="n"/>
      <c r="F92" s="47" t="n"/>
      <c r="G92" s="50" t="n"/>
      <c r="H92" s="50" t="n"/>
      <c r="I92" s="33">
        <f>IF(G92&gt;0,G92-H92,"")</f>
        <v/>
      </c>
      <c r="J92" s="48" t="n"/>
      <c r="K92" s="62">
        <f>IF(F92="","",IF(I92&gt;0,MAX(0,TODAY()-F92),""))</f>
        <v/>
      </c>
      <c r="L92" s="49" t="n"/>
    </row>
    <row r="93" ht="18" customHeight="1">
      <c r="A93" s="42" t="n">
        <v>91</v>
      </c>
      <c r="B93" s="45" t="n"/>
      <c r="C93" s="45" t="n"/>
      <c r="D93" s="45" t="n"/>
      <c r="E93" s="43" t="n"/>
      <c r="F93" s="43" t="n"/>
      <c r="G93" s="46" t="n"/>
      <c r="H93" s="46" t="n"/>
      <c r="I93" s="30">
        <f>IF(G93&gt;0,G93-H93,"")</f>
        <v/>
      </c>
      <c r="J93" s="44" t="n"/>
      <c r="K93" s="61">
        <f>IF(F93="","",IF(I93&gt;0,MAX(0,TODAY()-F93),""))</f>
        <v/>
      </c>
      <c r="L93" s="45" t="n"/>
    </row>
    <row r="94" ht="18" customHeight="1">
      <c r="A94" s="42" t="n">
        <v>92</v>
      </c>
      <c r="B94" s="49" t="n"/>
      <c r="C94" s="49" t="n"/>
      <c r="D94" s="49" t="n"/>
      <c r="E94" s="47" t="n"/>
      <c r="F94" s="47" t="n"/>
      <c r="G94" s="50" t="n"/>
      <c r="H94" s="50" t="n"/>
      <c r="I94" s="33">
        <f>IF(G94&gt;0,G94-H94,"")</f>
        <v/>
      </c>
      <c r="J94" s="48" t="n"/>
      <c r="K94" s="62">
        <f>IF(F94="","",IF(I94&gt;0,MAX(0,TODAY()-F94),""))</f>
        <v/>
      </c>
      <c r="L94" s="49" t="n"/>
    </row>
    <row r="95" ht="18" customHeight="1">
      <c r="A95" s="42" t="n">
        <v>93</v>
      </c>
      <c r="B95" s="45" t="n"/>
      <c r="C95" s="45" t="n"/>
      <c r="D95" s="45" t="n"/>
      <c r="E95" s="43" t="n"/>
      <c r="F95" s="43" t="n"/>
      <c r="G95" s="46" t="n"/>
      <c r="H95" s="46" t="n"/>
      <c r="I95" s="30">
        <f>IF(G95&gt;0,G95-H95,"")</f>
        <v/>
      </c>
      <c r="J95" s="44" t="n"/>
      <c r="K95" s="61">
        <f>IF(F95="","",IF(I95&gt;0,MAX(0,TODAY()-F95),""))</f>
        <v/>
      </c>
      <c r="L95" s="45" t="n"/>
    </row>
    <row r="96" ht="18" customHeight="1">
      <c r="A96" s="42" t="n">
        <v>94</v>
      </c>
      <c r="B96" s="49" t="n"/>
      <c r="C96" s="49" t="n"/>
      <c r="D96" s="49" t="n"/>
      <c r="E96" s="47" t="n"/>
      <c r="F96" s="47" t="n"/>
      <c r="G96" s="50" t="n"/>
      <c r="H96" s="50" t="n"/>
      <c r="I96" s="33">
        <f>IF(G96&gt;0,G96-H96,"")</f>
        <v/>
      </c>
      <c r="J96" s="48" t="n"/>
      <c r="K96" s="62">
        <f>IF(F96="","",IF(I96&gt;0,MAX(0,TODAY()-F96),""))</f>
        <v/>
      </c>
      <c r="L96" s="49" t="n"/>
    </row>
    <row r="97" ht="18" customHeight="1">
      <c r="A97" s="42" t="n">
        <v>95</v>
      </c>
      <c r="B97" s="45" t="n"/>
      <c r="C97" s="45" t="n"/>
      <c r="D97" s="45" t="n"/>
      <c r="E97" s="43" t="n"/>
      <c r="F97" s="43" t="n"/>
      <c r="G97" s="46" t="n"/>
      <c r="H97" s="46" t="n"/>
      <c r="I97" s="30">
        <f>IF(G97&gt;0,G97-H97,"")</f>
        <v/>
      </c>
      <c r="J97" s="44" t="n"/>
      <c r="K97" s="61">
        <f>IF(F97="","",IF(I97&gt;0,MAX(0,TODAY()-F97),""))</f>
        <v/>
      </c>
      <c r="L97" s="45" t="n"/>
    </row>
    <row r="98" ht="18" customHeight="1">
      <c r="A98" s="42" t="n">
        <v>96</v>
      </c>
      <c r="B98" s="49" t="n"/>
      <c r="C98" s="49" t="n"/>
      <c r="D98" s="49" t="n"/>
      <c r="E98" s="47" t="n"/>
      <c r="F98" s="47" t="n"/>
      <c r="G98" s="50" t="n"/>
      <c r="H98" s="50" t="n"/>
      <c r="I98" s="33">
        <f>IF(G98&gt;0,G98-H98,"")</f>
        <v/>
      </c>
      <c r="J98" s="48" t="n"/>
      <c r="K98" s="62">
        <f>IF(F98="","",IF(I98&gt;0,MAX(0,TODAY()-F98),""))</f>
        <v/>
      </c>
      <c r="L98" s="49" t="n"/>
    </row>
    <row r="99" ht="18" customHeight="1">
      <c r="A99" s="42" t="n">
        <v>97</v>
      </c>
      <c r="B99" s="45" t="n"/>
      <c r="C99" s="45" t="n"/>
      <c r="D99" s="45" t="n"/>
      <c r="E99" s="43" t="n"/>
      <c r="F99" s="43" t="n"/>
      <c r="G99" s="46" t="n"/>
      <c r="H99" s="46" t="n"/>
      <c r="I99" s="30">
        <f>IF(G99&gt;0,G99-H99,"")</f>
        <v/>
      </c>
      <c r="J99" s="44" t="n"/>
      <c r="K99" s="61">
        <f>IF(F99="","",IF(I99&gt;0,MAX(0,TODAY()-F99),""))</f>
        <v/>
      </c>
      <c r="L99" s="45" t="n"/>
    </row>
    <row r="100" ht="18" customHeight="1">
      <c r="A100" s="42" t="n">
        <v>98</v>
      </c>
      <c r="B100" s="49" t="n"/>
      <c r="C100" s="49" t="n"/>
      <c r="D100" s="49" t="n"/>
      <c r="E100" s="47" t="n"/>
      <c r="F100" s="47" t="n"/>
      <c r="G100" s="50" t="n"/>
      <c r="H100" s="50" t="n"/>
      <c r="I100" s="33">
        <f>IF(G100&gt;0,G100-H100,"")</f>
        <v/>
      </c>
      <c r="J100" s="48" t="n"/>
      <c r="K100" s="62">
        <f>IF(F100="","",IF(I100&gt;0,MAX(0,TODAY()-F100),""))</f>
        <v/>
      </c>
      <c r="L100" s="49" t="n"/>
    </row>
    <row r="101" ht="18" customHeight="1">
      <c r="A101" s="42" t="n">
        <v>99</v>
      </c>
      <c r="B101" s="45" t="n"/>
      <c r="C101" s="45" t="n"/>
      <c r="D101" s="45" t="n"/>
      <c r="E101" s="43" t="n"/>
      <c r="F101" s="43" t="n"/>
      <c r="G101" s="46" t="n"/>
      <c r="H101" s="46" t="n"/>
      <c r="I101" s="30">
        <f>IF(G101&gt;0,G101-H101,"")</f>
        <v/>
      </c>
      <c r="J101" s="44" t="n"/>
      <c r="K101" s="61">
        <f>IF(F101="","",IF(I101&gt;0,MAX(0,TODAY()-F101),""))</f>
        <v/>
      </c>
      <c r="L101" s="45" t="n"/>
    </row>
    <row r="102" ht="18" customHeight="1">
      <c r="A102" s="42" t="n">
        <v>100</v>
      </c>
      <c r="B102" s="49" t="n"/>
      <c r="C102" s="49" t="n"/>
      <c r="D102" s="49" t="n"/>
      <c r="E102" s="47" t="n"/>
      <c r="F102" s="47" t="n"/>
      <c r="G102" s="50" t="n"/>
      <c r="H102" s="50" t="n"/>
      <c r="I102" s="33">
        <f>IF(G102&gt;0,G102-H102,"")</f>
        <v/>
      </c>
      <c r="J102" s="48" t="n"/>
      <c r="K102" s="62">
        <f>IF(F102="","",IF(I102&gt;0,MAX(0,TODAY()-F102),""))</f>
        <v/>
      </c>
      <c r="L102" s="49" t="n"/>
    </row>
    <row r="103" ht="18" customHeight="1">
      <c r="A103" s="42" t="n">
        <v>101</v>
      </c>
      <c r="B103" s="45" t="n"/>
      <c r="C103" s="45" t="n"/>
      <c r="D103" s="45" t="n"/>
      <c r="E103" s="43" t="n"/>
      <c r="F103" s="43" t="n"/>
      <c r="G103" s="46" t="n"/>
      <c r="H103" s="46" t="n"/>
      <c r="I103" s="30">
        <f>IF(G103&gt;0,G103-H103,"")</f>
        <v/>
      </c>
      <c r="J103" s="44" t="n"/>
      <c r="K103" s="61">
        <f>IF(F103="","",IF(I103&gt;0,MAX(0,TODAY()-F103),""))</f>
        <v/>
      </c>
      <c r="L103" s="45" t="n"/>
    </row>
    <row r="104" ht="18" customHeight="1">
      <c r="A104" s="42" t="n">
        <v>102</v>
      </c>
      <c r="B104" s="49" t="n"/>
      <c r="C104" s="49" t="n"/>
      <c r="D104" s="49" t="n"/>
      <c r="E104" s="47" t="n"/>
      <c r="F104" s="47" t="n"/>
      <c r="G104" s="50" t="n"/>
      <c r="H104" s="50" t="n"/>
      <c r="I104" s="33">
        <f>IF(G104&gt;0,G104-H104,"")</f>
        <v/>
      </c>
      <c r="J104" s="48" t="n"/>
      <c r="K104" s="62">
        <f>IF(F104="","",IF(I104&gt;0,MAX(0,TODAY()-F104),""))</f>
        <v/>
      </c>
      <c r="L104" s="49" t="n"/>
    </row>
    <row r="105" ht="18" customHeight="1">
      <c r="A105" s="42" t="n">
        <v>103</v>
      </c>
      <c r="B105" s="45" t="n"/>
      <c r="C105" s="45" t="n"/>
      <c r="D105" s="45" t="n"/>
      <c r="E105" s="43" t="n"/>
      <c r="F105" s="43" t="n"/>
      <c r="G105" s="46" t="n"/>
      <c r="H105" s="46" t="n"/>
      <c r="I105" s="30">
        <f>IF(G105&gt;0,G105-H105,"")</f>
        <v/>
      </c>
      <c r="J105" s="44" t="n"/>
      <c r="K105" s="61">
        <f>IF(F105="","",IF(I105&gt;0,MAX(0,TODAY()-F105),""))</f>
        <v/>
      </c>
      <c r="L105" s="45" t="n"/>
    </row>
    <row r="106" ht="18" customHeight="1">
      <c r="A106" s="42" t="n">
        <v>104</v>
      </c>
      <c r="B106" s="49" t="n"/>
      <c r="C106" s="49" t="n"/>
      <c r="D106" s="49" t="n"/>
      <c r="E106" s="47" t="n"/>
      <c r="F106" s="47" t="n"/>
      <c r="G106" s="50" t="n"/>
      <c r="H106" s="50" t="n"/>
      <c r="I106" s="33">
        <f>IF(G106&gt;0,G106-H106,"")</f>
        <v/>
      </c>
      <c r="J106" s="48" t="n"/>
      <c r="K106" s="62">
        <f>IF(F106="","",IF(I106&gt;0,MAX(0,TODAY()-F106),""))</f>
        <v/>
      </c>
      <c r="L106" s="49" t="n"/>
    </row>
    <row r="107" ht="18" customHeight="1">
      <c r="A107" s="42" t="n">
        <v>105</v>
      </c>
      <c r="B107" s="45" t="n"/>
      <c r="C107" s="45" t="n"/>
      <c r="D107" s="45" t="n"/>
      <c r="E107" s="43" t="n"/>
      <c r="F107" s="43" t="n"/>
      <c r="G107" s="46" t="n"/>
      <c r="H107" s="46" t="n"/>
      <c r="I107" s="30">
        <f>IF(G107&gt;0,G107-H107,"")</f>
        <v/>
      </c>
      <c r="J107" s="44" t="n"/>
      <c r="K107" s="61">
        <f>IF(F107="","",IF(I107&gt;0,MAX(0,TODAY()-F107),""))</f>
        <v/>
      </c>
      <c r="L107" s="45" t="n"/>
    </row>
    <row r="108" ht="18" customHeight="1">
      <c r="A108" s="42" t="n">
        <v>106</v>
      </c>
      <c r="B108" s="49" t="n"/>
      <c r="C108" s="49" t="n"/>
      <c r="D108" s="49" t="n"/>
      <c r="E108" s="47" t="n"/>
      <c r="F108" s="47" t="n"/>
      <c r="G108" s="50" t="n"/>
      <c r="H108" s="50" t="n"/>
      <c r="I108" s="33">
        <f>IF(G108&gt;0,G108-H108,"")</f>
        <v/>
      </c>
      <c r="J108" s="48" t="n"/>
      <c r="K108" s="62">
        <f>IF(F108="","",IF(I108&gt;0,MAX(0,TODAY()-F108),""))</f>
        <v/>
      </c>
      <c r="L108" s="49" t="n"/>
    </row>
    <row r="109" ht="18" customHeight="1">
      <c r="A109" s="42" t="n">
        <v>107</v>
      </c>
      <c r="B109" s="45" t="n"/>
      <c r="C109" s="45" t="n"/>
      <c r="D109" s="45" t="n"/>
      <c r="E109" s="43" t="n"/>
      <c r="F109" s="43" t="n"/>
      <c r="G109" s="46" t="n"/>
      <c r="H109" s="46" t="n"/>
      <c r="I109" s="30">
        <f>IF(G109&gt;0,G109-H109,"")</f>
        <v/>
      </c>
      <c r="J109" s="44" t="n"/>
      <c r="K109" s="61">
        <f>IF(F109="","",IF(I109&gt;0,MAX(0,TODAY()-F109),""))</f>
        <v/>
      </c>
      <c r="L109" s="45" t="n"/>
    </row>
    <row r="110" ht="18" customHeight="1">
      <c r="A110" s="42" t="n">
        <v>108</v>
      </c>
      <c r="B110" s="49" t="n"/>
      <c r="C110" s="49" t="n"/>
      <c r="D110" s="49" t="n"/>
      <c r="E110" s="47" t="n"/>
      <c r="F110" s="47" t="n"/>
      <c r="G110" s="50" t="n"/>
      <c r="H110" s="50" t="n"/>
      <c r="I110" s="33">
        <f>IF(G110&gt;0,G110-H110,"")</f>
        <v/>
      </c>
      <c r="J110" s="48" t="n"/>
      <c r="K110" s="62">
        <f>IF(F110="","",IF(I110&gt;0,MAX(0,TODAY()-F110),""))</f>
        <v/>
      </c>
      <c r="L110" s="49" t="n"/>
    </row>
    <row r="111" ht="18" customHeight="1">
      <c r="A111" s="42" t="n">
        <v>109</v>
      </c>
      <c r="B111" s="45" t="n"/>
      <c r="C111" s="45" t="n"/>
      <c r="D111" s="45" t="n"/>
      <c r="E111" s="43" t="n"/>
      <c r="F111" s="43" t="n"/>
      <c r="G111" s="46" t="n"/>
      <c r="H111" s="46" t="n"/>
      <c r="I111" s="30">
        <f>IF(G111&gt;0,G111-H111,"")</f>
        <v/>
      </c>
      <c r="J111" s="44" t="n"/>
      <c r="K111" s="61">
        <f>IF(F111="","",IF(I111&gt;0,MAX(0,TODAY()-F111),""))</f>
        <v/>
      </c>
      <c r="L111" s="45" t="n"/>
    </row>
    <row r="112" ht="18" customHeight="1">
      <c r="A112" s="42" t="n">
        <v>110</v>
      </c>
      <c r="B112" s="49" t="n"/>
      <c r="C112" s="49" t="n"/>
      <c r="D112" s="49" t="n"/>
      <c r="E112" s="47" t="n"/>
      <c r="F112" s="47" t="n"/>
      <c r="G112" s="50" t="n"/>
      <c r="H112" s="50" t="n"/>
      <c r="I112" s="33">
        <f>IF(G112&gt;0,G112-H112,"")</f>
        <v/>
      </c>
      <c r="J112" s="48" t="n"/>
      <c r="K112" s="62">
        <f>IF(F112="","",IF(I112&gt;0,MAX(0,TODAY()-F112),""))</f>
        <v/>
      </c>
      <c r="L112" s="49" t="n"/>
    </row>
    <row r="113" ht="18" customHeight="1">
      <c r="A113" s="42" t="n">
        <v>111</v>
      </c>
      <c r="B113" s="45" t="n"/>
      <c r="C113" s="45" t="n"/>
      <c r="D113" s="45" t="n"/>
      <c r="E113" s="43" t="n"/>
      <c r="F113" s="43" t="n"/>
      <c r="G113" s="46" t="n"/>
      <c r="H113" s="46" t="n"/>
      <c r="I113" s="30">
        <f>IF(G113&gt;0,G113-H113,"")</f>
        <v/>
      </c>
      <c r="J113" s="44" t="n"/>
      <c r="K113" s="61">
        <f>IF(F113="","",IF(I113&gt;0,MAX(0,TODAY()-F113),""))</f>
        <v/>
      </c>
      <c r="L113" s="45" t="n"/>
    </row>
    <row r="114" ht="18" customHeight="1">
      <c r="A114" s="42" t="n">
        <v>112</v>
      </c>
      <c r="B114" s="49" t="n"/>
      <c r="C114" s="49" t="n"/>
      <c r="D114" s="49" t="n"/>
      <c r="E114" s="47" t="n"/>
      <c r="F114" s="47" t="n"/>
      <c r="G114" s="50" t="n"/>
      <c r="H114" s="50" t="n"/>
      <c r="I114" s="33">
        <f>IF(G114&gt;0,G114-H114,"")</f>
        <v/>
      </c>
      <c r="J114" s="48" t="n"/>
      <c r="K114" s="62">
        <f>IF(F114="","",IF(I114&gt;0,MAX(0,TODAY()-F114),""))</f>
        <v/>
      </c>
      <c r="L114" s="49" t="n"/>
    </row>
    <row r="115" ht="18" customHeight="1">
      <c r="A115" s="42" t="n">
        <v>113</v>
      </c>
      <c r="B115" s="45" t="n"/>
      <c r="C115" s="45" t="n"/>
      <c r="D115" s="45" t="n"/>
      <c r="E115" s="43" t="n"/>
      <c r="F115" s="43" t="n"/>
      <c r="G115" s="46" t="n"/>
      <c r="H115" s="46" t="n"/>
      <c r="I115" s="30">
        <f>IF(G115&gt;0,G115-H115,"")</f>
        <v/>
      </c>
      <c r="J115" s="44" t="n"/>
      <c r="K115" s="61">
        <f>IF(F115="","",IF(I115&gt;0,MAX(0,TODAY()-F115),""))</f>
        <v/>
      </c>
      <c r="L115" s="45" t="n"/>
    </row>
    <row r="116" ht="18" customHeight="1">
      <c r="A116" s="42" t="n">
        <v>114</v>
      </c>
      <c r="B116" s="49" t="n"/>
      <c r="C116" s="49" t="n"/>
      <c r="D116" s="49" t="n"/>
      <c r="E116" s="47" t="n"/>
      <c r="F116" s="47" t="n"/>
      <c r="G116" s="50" t="n"/>
      <c r="H116" s="50" t="n"/>
      <c r="I116" s="33">
        <f>IF(G116&gt;0,G116-H116,"")</f>
        <v/>
      </c>
      <c r="J116" s="48" t="n"/>
      <c r="K116" s="62">
        <f>IF(F116="","",IF(I116&gt;0,MAX(0,TODAY()-F116),""))</f>
        <v/>
      </c>
      <c r="L116" s="49" t="n"/>
    </row>
    <row r="117" ht="18" customHeight="1">
      <c r="A117" s="42" t="n">
        <v>115</v>
      </c>
      <c r="B117" s="45" t="n"/>
      <c r="C117" s="45" t="n"/>
      <c r="D117" s="45" t="n"/>
      <c r="E117" s="43" t="n"/>
      <c r="F117" s="43" t="n"/>
      <c r="G117" s="46" t="n"/>
      <c r="H117" s="46" t="n"/>
      <c r="I117" s="30">
        <f>IF(G117&gt;0,G117-H117,"")</f>
        <v/>
      </c>
      <c r="J117" s="44" t="n"/>
      <c r="K117" s="61">
        <f>IF(F117="","",IF(I117&gt;0,MAX(0,TODAY()-F117),""))</f>
        <v/>
      </c>
      <c r="L117" s="45" t="n"/>
    </row>
    <row r="118" ht="18" customHeight="1">
      <c r="A118" s="42" t="n">
        <v>116</v>
      </c>
      <c r="B118" s="49" t="n"/>
      <c r="C118" s="49" t="n"/>
      <c r="D118" s="49" t="n"/>
      <c r="E118" s="47" t="n"/>
      <c r="F118" s="47" t="n"/>
      <c r="G118" s="50" t="n"/>
      <c r="H118" s="50" t="n"/>
      <c r="I118" s="33">
        <f>IF(G118&gt;0,G118-H118,"")</f>
        <v/>
      </c>
      <c r="J118" s="48" t="n"/>
      <c r="K118" s="62">
        <f>IF(F118="","",IF(I118&gt;0,MAX(0,TODAY()-F118),""))</f>
        <v/>
      </c>
      <c r="L118" s="49" t="n"/>
    </row>
    <row r="119" ht="18" customHeight="1">
      <c r="A119" s="42" t="n">
        <v>117</v>
      </c>
      <c r="B119" s="45" t="n"/>
      <c r="C119" s="45" t="n"/>
      <c r="D119" s="45" t="n"/>
      <c r="E119" s="43" t="n"/>
      <c r="F119" s="43" t="n"/>
      <c r="G119" s="46" t="n"/>
      <c r="H119" s="46" t="n"/>
      <c r="I119" s="30">
        <f>IF(G119&gt;0,G119-H119,"")</f>
        <v/>
      </c>
      <c r="J119" s="44" t="n"/>
      <c r="K119" s="61">
        <f>IF(F119="","",IF(I119&gt;0,MAX(0,TODAY()-F119),""))</f>
        <v/>
      </c>
      <c r="L119" s="45" t="n"/>
    </row>
    <row r="120" ht="18" customHeight="1">
      <c r="A120" s="42" t="n">
        <v>118</v>
      </c>
      <c r="B120" s="49" t="n"/>
      <c r="C120" s="49" t="n"/>
      <c r="D120" s="49" t="n"/>
      <c r="E120" s="47" t="n"/>
      <c r="F120" s="47" t="n"/>
      <c r="G120" s="50" t="n"/>
      <c r="H120" s="50" t="n"/>
      <c r="I120" s="33">
        <f>IF(G120&gt;0,G120-H120,"")</f>
        <v/>
      </c>
      <c r="J120" s="48" t="n"/>
      <c r="K120" s="62">
        <f>IF(F120="","",IF(I120&gt;0,MAX(0,TODAY()-F120),""))</f>
        <v/>
      </c>
      <c r="L120" s="49" t="n"/>
    </row>
    <row r="121" ht="18" customHeight="1">
      <c r="A121" s="42" t="n">
        <v>119</v>
      </c>
      <c r="B121" s="45" t="n"/>
      <c r="C121" s="45" t="n"/>
      <c r="D121" s="45" t="n"/>
      <c r="E121" s="43" t="n"/>
      <c r="F121" s="43" t="n"/>
      <c r="G121" s="46" t="n"/>
      <c r="H121" s="46" t="n"/>
      <c r="I121" s="30">
        <f>IF(G121&gt;0,G121-H121,"")</f>
        <v/>
      </c>
      <c r="J121" s="44" t="n"/>
      <c r="K121" s="61">
        <f>IF(F121="","",IF(I121&gt;0,MAX(0,TODAY()-F121),""))</f>
        <v/>
      </c>
      <c r="L121" s="45" t="n"/>
    </row>
    <row r="122" ht="18" customHeight="1">
      <c r="A122" s="42" t="n">
        <v>120</v>
      </c>
      <c r="B122" s="49" t="n"/>
      <c r="C122" s="49" t="n"/>
      <c r="D122" s="49" t="n"/>
      <c r="E122" s="47" t="n"/>
      <c r="F122" s="47" t="n"/>
      <c r="G122" s="50" t="n"/>
      <c r="H122" s="50" t="n"/>
      <c r="I122" s="33">
        <f>IF(G122&gt;0,G122-H122,"")</f>
        <v/>
      </c>
      <c r="J122" s="48" t="n"/>
      <c r="K122" s="62">
        <f>IF(F122="","",IF(I122&gt;0,MAX(0,TODAY()-F122),""))</f>
        <v/>
      </c>
      <c r="L122" s="49" t="n"/>
    </row>
    <row r="123" ht="18" customHeight="1">
      <c r="A123" s="42" t="n">
        <v>121</v>
      </c>
      <c r="B123" s="45" t="n"/>
      <c r="C123" s="45" t="n"/>
      <c r="D123" s="45" t="n"/>
      <c r="E123" s="43" t="n"/>
      <c r="F123" s="43" t="n"/>
      <c r="G123" s="46" t="n"/>
      <c r="H123" s="46" t="n"/>
      <c r="I123" s="30">
        <f>IF(G123&gt;0,G123-H123,"")</f>
        <v/>
      </c>
      <c r="J123" s="44" t="n"/>
      <c r="K123" s="61">
        <f>IF(F123="","",IF(I123&gt;0,MAX(0,TODAY()-F123),""))</f>
        <v/>
      </c>
      <c r="L123" s="45" t="n"/>
    </row>
    <row r="124" ht="18" customHeight="1">
      <c r="A124" s="42" t="n">
        <v>122</v>
      </c>
      <c r="B124" s="49" t="n"/>
      <c r="C124" s="49" t="n"/>
      <c r="D124" s="49" t="n"/>
      <c r="E124" s="47" t="n"/>
      <c r="F124" s="47" t="n"/>
      <c r="G124" s="50" t="n"/>
      <c r="H124" s="50" t="n"/>
      <c r="I124" s="33">
        <f>IF(G124&gt;0,G124-H124,"")</f>
        <v/>
      </c>
      <c r="J124" s="48" t="n"/>
      <c r="K124" s="62">
        <f>IF(F124="","",IF(I124&gt;0,MAX(0,TODAY()-F124),""))</f>
        <v/>
      </c>
      <c r="L124" s="49" t="n"/>
    </row>
    <row r="125" ht="18" customHeight="1">
      <c r="A125" s="42" t="n">
        <v>123</v>
      </c>
      <c r="B125" s="45" t="n"/>
      <c r="C125" s="45" t="n"/>
      <c r="D125" s="45" t="n"/>
      <c r="E125" s="43" t="n"/>
      <c r="F125" s="43" t="n"/>
      <c r="G125" s="46" t="n"/>
      <c r="H125" s="46" t="n"/>
      <c r="I125" s="30">
        <f>IF(G125&gt;0,G125-H125,"")</f>
        <v/>
      </c>
      <c r="J125" s="44" t="n"/>
      <c r="K125" s="61">
        <f>IF(F125="","",IF(I125&gt;0,MAX(0,TODAY()-F125),""))</f>
        <v/>
      </c>
      <c r="L125" s="45" t="n"/>
    </row>
    <row r="126" ht="18" customHeight="1">
      <c r="A126" s="42" t="n">
        <v>124</v>
      </c>
      <c r="B126" s="49" t="n"/>
      <c r="C126" s="49" t="n"/>
      <c r="D126" s="49" t="n"/>
      <c r="E126" s="47" t="n"/>
      <c r="F126" s="47" t="n"/>
      <c r="G126" s="50" t="n"/>
      <c r="H126" s="50" t="n"/>
      <c r="I126" s="33">
        <f>IF(G126&gt;0,G126-H126,"")</f>
        <v/>
      </c>
      <c r="J126" s="48" t="n"/>
      <c r="K126" s="62">
        <f>IF(F126="","",IF(I126&gt;0,MAX(0,TODAY()-F126),""))</f>
        <v/>
      </c>
      <c r="L126" s="49" t="n"/>
    </row>
    <row r="127" ht="18" customHeight="1">
      <c r="A127" s="42" t="n">
        <v>125</v>
      </c>
      <c r="B127" s="45" t="n"/>
      <c r="C127" s="45" t="n"/>
      <c r="D127" s="45" t="n"/>
      <c r="E127" s="43" t="n"/>
      <c r="F127" s="43" t="n"/>
      <c r="G127" s="46" t="n"/>
      <c r="H127" s="46" t="n"/>
      <c r="I127" s="30">
        <f>IF(G127&gt;0,G127-H127,"")</f>
        <v/>
      </c>
      <c r="J127" s="44" t="n"/>
      <c r="K127" s="61">
        <f>IF(F127="","",IF(I127&gt;0,MAX(0,TODAY()-F127),""))</f>
        <v/>
      </c>
      <c r="L127" s="45" t="n"/>
    </row>
    <row r="128" ht="18" customHeight="1">
      <c r="A128" s="42" t="n">
        <v>126</v>
      </c>
      <c r="B128" s="49" t="n"/>
      <c r="C128" s="49" t="n"/>
      <c r="D128" s="49" t="n"/>
      <c r="E128" s="47" t="n"/>
      <c r="F128" s="47" t="n"/>
      <c r="G128" s="50" t="n"/>
      <c r="H128" s="50" t="n"/>
      <c r="I128" s="33">
        <f>IF(G128&gt;0,G128-H128,"")</f>
        <v/>
      </c>
      <c r="J128" s="48" t="n"/>
      <c r="K128" s="62">
        <f>IF(F128="","",IF(I128&gt;0,MAX(0,TODAY()-F128),""))</f>
        <v/>
      </c>
      <c r="L128" s="49" t="n"/>
    </row>
    <row r="129" ht="18" customHeight="1">
      <c r="A129" s="42" t="n">
        <v>127</v>
      </c>
      <c r="B129" s="45" t="n"/>
      <c r="C129" s="45" t="n"/>
      <c r="D129" s="45" t="n"/>
      <c r="E129" s="43" t="n"/>
      <c r="F129" s="43" t="n"/>
      <c r="G129" s="46" t="n"/>
      <c r="H129" s="46" t="n"/>
      <c r="I129" s="30">
        <f>IF(G129&gt;0,G129-H129,"")</f>
        <v/>
      </c>
      <c r="J129" s="44" t="n"/>
      <c r="K129" s="61">
        <f>IF(F129="","",IF(I129&gt;0,MAX(0,TODAY()-F129),""))</f>
        <v/>
      </c>
      <c r="L129" s="45" t="n"/>
    </row>
    <row r="130" ht="18" customHeight="1">
      <c r="A130" s="42" t="n">
        <v>128</v>
      </c>
      <c r="B130" s="49" t="n"/>
      <c r="C130" s="49" t="n"/>
      <c r="D130" s="49" t="n"/>
      <c r="E130" s="47" t="n"/>
      <c r="F130" s="47" t="n"/>
      <c r="G130" s="50" t="n"/>
      <c r="H130" s="50" t="n"/>
      <c r="I130" s="33">
        <f>IF(G130&gt;0,G130-H130,"")</f>
        <v/>
      </c>
      <c r="J130" s="48" t="n"/>
      <c r="K130" s="62">
        <f>IF(F130="","",IF(I130&gt;0,MAX(0,TODAY()-F130),""))</f>
        <v/>
      </c>
      <c r="L130" s="49" t="n"/>
    </row>
    <row r="131" ht="18" customHeight="1">
      <c r="A131" s="42" t="n">
        <v>129</v>
      </c>
      <c r="B131" s="45" t="n"/>
      <c r="C131" s="45" t="n"/>
      <c r="D131" s="45" t="n"/>
      <c r="E131" s="43" t="n"/>
      <c r="F131" s="43" t="n"/>
      <c r="G131" s="46" t="n"/>
      <c r="H131" s="46" t="n"/>
      <c r="I131" s="30">
        <f>IF(G131&gt;0,G131-H131,"")</f>
        <v/>
      </c>
      <c r="J131" s="44" t="n"/>
      <c r="K131" s="61">
        <f>IF(F131="","",IF(I131&gt;0,MAX(0,TODAY()-F131),""))</f>
        <v/>
      </c>
      <c r="L131" s="45" t="n"/>
    </row>
    <row r="132" ht="18" customHeight="1">
      <c r="A132" s="42" t="n">
        <v>130</v>
      </c>
      <c r="B132" s="49" t="n"/>
      <c r="C132" s="49" t="n"/>
      <c r="D132" s="49" t="n"/>
      <c r="E132" s="47" t="n"/>
      <c r="F132" s="47" t="n"/>
      <c r="G132" s="50" t="n"/>
      <c r="H132" s="50" t="n"/>
      <c r="I132" s="33">
        <f>IF(G132&gt;0,G132-H132,"")</f>
        <v/>
      </c>
      <c r="J132" s="48" t="n"/>
      <c r="K132" s="62">
        <f>IF(F132="","",IF(I132&gt;0,MAX(0,TODAY()-F132),""))</f>
        <v/>
      </c>
      <c r="L132" s="49" t="n"/>
    </row>
    <row r="133" ht="18" customHeight="1">
      <c r="A133" s="42" t="n">
        <v>131</v>
      </c>
      <c r="B133" s="45" t="n"/>
      <c r="C133" s="45" t="n"/>
      <c r="D133" s="45" t="n"/>
      <c r="E133" s="43" t="n"/>
      <c r="F133" s="43" t="n"/>
      <c r="G133" s="46" t="n"/>
      <c r="H133" s="46" t="n"/>
      <c r="I133" s="30">
        <f>IF(G133&gt;0,G133-H133,"")</f>
        <v/>
      </c>
      <c r="J133" s="44" t="n"/>
      <c r="K133" s="61">
        <f>IF(F133="","",IF(I133&gt;0,MAX(0,TODAY()-F133),""))</f>
        <v/>
      </c>
      <c r="L133" s="45" t="n"/>
    </row>
    <row r="134" ht="18" customHeight="1">
      <c r="A134" s="42" t="n">
        <v>132</v>
      </c>
      <c r="B134" s="49" t="n"/>
      <c r="C134" s="49" t="n"/>
      <c r="D134" s="49" t="n"/>
      <c r="E134" s="47" t="n"/>
      <c r="F134" s="47" t="n"/>
      <c r="G134" s="50" t="n"/>
      <c r="H134" s="50" t="n"/>
      <c r="I134" s="33">
        <f>IF(G134&gt;0,G134-H134,"")</f>
        <v/>
      </c>
      <c r="J134" s="48" t="n"/>
      <c r="K134" s="62">
        <f>IF(F134="","",IF(I134&gt;0,MAX(0,TODAY()-F134),""))</f>
        <v/>
      </c>
      <c r="L134" s="49" t="n"/>
    </row>
    <row r="135" ht="18" customHeight="1">
      <c r="A135" s="42" t="n">
        <v>133</v>
      </c>
      <c r="B135" s="45" t="n"/>
      <c r="C135" s="45" t="n"/>
      <c r="D135" s="45" t="n"/>
      <c r="E135" s="43" t="n"/>
      <c r="F135" s="43" t="n"/>
      <c r="G135" s="46" t="n"/>
      <c r="H135" s="46" t="n"/>
      <c r="I135" s="30">
        <f>IF(G135&gt;0,G135-H135,"")</f>
        <v/>
      </c>
      <c r="J135" s="44" t="n"/>
      <c r="K135" s="61">
        <f>IF(F135="","",IF(I135&gt;0,MAX(0,TODAY()-F135),""))</f>
        <v/>
      </c>
      <c r="L135" s="45" t="n"/>
    </row>
    <row r="136" ht="18" customHeight="1">
      <c r="A136" s="42" t="n">
        <v>134</v>
      </c>
      <c r="B136" s="49" t="n"/>
      <c r="C136" s="49" t="n"/>
      <c r="D136" s="49" t="n"/>
      <c r="E136" s="47" t="n"/>
      <c r="F136" s="47" t="n"/>
      <c r="G136" s="50" t="n"/>
      <c r="H136" s="50" t="n"/>
      <c r="I136" s="33">
        <f>IF(G136&gt;0,G136-H136,"")</f>
        <v/>
      </c>
      <c r="J136" s="48" t="n"/>
      <c r="K136" s="62">
        <f>IF(F136="","",IF(I136&gt;0,MAX(0,TODAY()-F136),""))</f>
        <v/>
      </c>
      <c r="L136" s="49" t="n"/>
    </row>
    <row r="137" ht="18" customHeight="1">
      <c r="A137" s="42" t="n">
        <v>135</v>
      </c>
      <c r="B137" s="45" t="n"/>
      <c r="C137" s="45" t="n"/>
      <c r="D137" s="45" t="n"/>
      <c r="E137" s="43" t="n"/>
      <c r="F137" s="43" t="n"/>
      <c r="G137" s="46" t="n"/>
      <c r="H137" s="46" t="n"/>
      <c r="I137" s="30">
        <f>IF(G137&gt;0,G137-H137,"")</f>
        <v/>
      </c>
      <c r="J137" s="44" t="n"/>
      <c r="K137" s="61">
        <f>IF(F137="","",IF(I137&gt;0,MAX(0,TODAY()-F137),""))</f>
        <v/>
      </c>
      <c r="L137" s="45" t="n"/>
    </row>
    <row r="138" ht="18" customHeight="1">
      <c r="A138" s="42" t="n">
        <v>136</v>
      </c>
      <c r="B138" s="49" t="n"/>
      <c r="C138" s="49" t="n"/>
      <c r="D138" s="49" t="n"/>
      <c r="E138" s="47" t="n"/>
      <c r="F138" s="47" t="n"/>
      <c r="G138" s="50" t="n"/>
      <c r="H138" s="50" t="n"/>
      <c r="I138" s="33">
        <f>IF(G138&gt;0,G138-H138,"")</f>
        <v/>
      </c>
      <c r="J138" s="48" t="n"/>
      <c r="K138" s="62">
        <f>IF(F138="","",IF(I138&gt;0,MAX(0,TODAY()-F138),""))</f>
        <v/>
      </c>
      <c r="L138" s="49" t="n"/>
    </row>
    <row r="139" ht="18" customHeight="1">
      <c r="A139" s="42" t="n">
        <v>137</v>
      </c>
      <c r="B139" s="45" t="n"/>
      <c r="C139" s="45" t="n"/>
      <c r="D139" s="45" t="n"/>
      <c r="E139" s="43" t="n"/>
      <c r="F139" s="43" t="n"/>
      <c r="G139" s="46" t="n"/>
      <c r="H139" s="46" t="n"/>
      <c r="I139" s="30">
        <f>IF(G139&gt;0,G139-H139,"")</f>
        <v/>
      </c>
      <c r="J139" s="44" t="n"/>
      <c r="K139" s="61">
        <f>IF(F139="","",IF(I139&gt;0,MAX(0,TODAY()-F139),""))</f>
        <v/>
      </c>
      <c r="L139" s="45" t="n"/>
    </row>
    <row r="140" ht="18" customHeight="1">
      <c r="A140" s="42" t="n">
        <v>138</v>
      </c>
      <c r="B140" s="49" t="n"/>
      <c r="C140" s="49" t="n"/>
      <c r="D140" s="49" t="n"/>
      <c r="E140" s="47" t="n"/>
      <c r="F140" s="47" t="n"/>
      <c r="G140" s="50" t="n"/>
      <c r="H140" s="50" t="n"/>
      <c r="I140" s="33">
        <f>IF(G140&gt;0,G140-H140,"")</f>
        <v/>
      </c>
      <c r="J140" s="48" t="n"/>
      <c r="K140" s="62">
        <f>IF(F140="","",IF(I140&gt;0,MAX(0,TODAY()-F140),""))</f>
        <v/>
      </c>
      <c r="L140" s="49" t="n"/>
    </row>
    <row r="141" ht="18" customHeight="1">
      <c r="A141" s="42" t="n">
        <v>139</v>
      </c>
      <c r="B141" s="45" t="n"/>
      <c r="C141" s="45" t="n"/>
      <c r="D141" s="45" t="n"/>
      <c r="E141" s="43" t="n"/>
      <c r="F141" s="43" t="n"/>
      <c r="G141" s="46" t="n"/>
      <c r="H141" s="46" t="n"/>
      <c r="I141" s="30">
        <f>IF(G141&gt;0,G141-H141,"")</f>
        <v/>
      </c>
      <c r="J141" s="44" t="n"/>
      <c r="K141" s="61">
        <f>IF(F141="","",IF(I141&gt;0,MAX(0,TODAY()-F141),""))</f>
        <v/>
      </c>
      <c r="L141" s="45" t="n"/>
    </row>
    <row r="142" ht="18" customHeight="1">
      <c r="A142" s="42" t="n">
        <v>140</v>
      </c>
      <c r="B142" s="49" t="n"/>
      <c r="C142" s="49" t="n"/>
      <c r="D142" s="49" t="n"/>
      <c r="E142" s="47" t="n"/>
      <c r="F142" s="47" t="n"/>
      <c r="G142" s="50" t="n"/>
      <c r="H142" s="50" t="n"/>
      <c r="I142" s="33">
        <f>IF(G142&gt;0,G142-H142,"")</f>
        <v/>
      </c>
      <c r="J142" s="48" t="n"/>
      <c r="K142" s="62">
        <f>IF(F142="","",IF(I142&gt;0,MAX(0,TODAY()-F142),""))</f>
        <v/>
      </c>
      <c r="L142" s="49" t="n"/>
    </row>
    <row r="143" ht="18" customHeight="1">
      <c r="A143" s="42" t="n">
        <v>141</v>
      </c>
      <c r="B143" s="45" t="n"/>
      <c r="C143" s="45" t="n"/>
      <c r="D143" s="45" t="n"/>
      <c r="E143" s="43" t="n"/>
      <c r="F143" s="43" t="n"/>
      <c r="G143" s="46" t="n"/>
      <c r="H143" s="46" t="n"/>
      <c r="I143" s="30">
        <f>IF(G143&gt;0,G143-H143,"")</f>
        <v/>
      </c>
      <c r="J143" s="44" t="n"/>
      <c r="K143" s="61">
        <f>IF(F143="","",IF(I143&gt;0,MAX(0,TODAY()-F143),""))</f>
        <v/>
      </c>
      <c r="L143" s="45" t="n"/>
    </row>
    <row r="144" ht="18" customHeight="1">
      <c r="A144" s="42" t="n">
        <v>142</v>
      </c>
      <c r="B144" s="49" t="n"/>
      <c r="C144" s="49" t="n"/>
      <c r="D144" s="49" t="n"/>
      <c r="E144" s="47" t="n"/>
      <c r="F144" s="47" t="n"/>
      <c r="G144" s="50" t="n"/>
      <c r="H144" s="50" t="n"/>
      <c r="I144" s="33">
        <f>IF(G144&gt;0,G144-H144,"")</f>
        <v/>
      </c>
      <c r="J144" s="48" t="n"/>
      <c r="K144" s="62">
        <f>IF(F144="","",IF(I144&gt;0,MAX(0,TODAY()-F144),""))</f>
        <v/>
      </c>
      <c r="L144" s="49" t="n"/>
    </row>
    <row r="145" ht="18" customHeight="1">
      <c r="A145" s="42" t="n">
        <v>143</v>
      </c>
      <c r="B145" s="45" t="n"/>
      <c r="C145" s="45" t="n"/>
      <c r="D145" s="45" t="n"/>
      <c r="E145" s="43" t="n"/>
      <c r="F145" s="43" t="n"/>
      <c r="G145" s="46" t="n"/>
      <c r="H145" s="46" t="n"/>
      <c r="I145" s="30">
        <f>IF(G145&gt;0,G145-H145,"")</f>
        <v/>
      </c>
      <c r="J145" s="44" t="n"/>
      <c r="K145" s="61">
        <f>IF(F145="","",IF(I145&gt;0,MAX(0,TODAY()-F145),""))</f>
        <v/>
      </c>
      <c r="L145" s="45" t="n"/>
    </row>
    <row r="146" ht="18" customHeight="1">
      <c r="A146" s="42" t="n">
        <v>144</v>
      </c>
      <c r="B146" s="49" t="n"/>
      <c r="C146" s="49" t="n"/>
      <c r="D146" s="49" t="n"/>
      <c r="E146" s="47" t="n"/>
      <c r="F146" s="47" t="n"/>
      <c r="G146" s="50" t="n"/>
      <c r="H146" s="50" t="n"/>
      <c r="I146" s="33">
        <f>IF(G146&gt;0,G146-H146,"")</f>
        <v/>
      </c>
      <c r="J146" s="48" t="n"/>
      <c r="K146" s="62">
        <f>IF(F146="","",IF(I146&gt;0,MAX(0,TODAY()-F146),""))</f>
        <v/>
      </c>
      <c r="L146" s="49" t="n"/>
    </row>
    <row r="147" ht="18" customHeight="1">
      <c r="A147" s="42" t="n">
        <v>145</v>
      </c>
      <c r="B147" s="45" t="n"/>
      <c r="C147" s="45" t="n"/>
      <c r="D147" s="45" t="n"/>
      <c r="E147" s="43" t="n"/>
      <c r="F147" s="43" t="n"/>
      <c r="G147" s="46" t="n"/>
      <c r="H147" s="46" t="n"/>
      <c r="I147" s="30">
        <f>IF(G147&gt;0,G147-H147,"")</f>
        <v/>
      </c>
      <c r="J147" s="44" t="n"/>
      <c r="K147" s="61">
        <f>IF(F147="","",IF(I147&gt;0,MAX(0,TODAY()-F147),""))</f>
        <v/>
      </c>
      <c r="L147" s="45" t="n"/>
    </row>
    <row r="148" ht="18" customHeight="1">
      <c r="A148" s="42" t="n">
        <v>146</v>
      </c>
      <c r="B148" s="49" t="n"/>
      <c r="C148" s="49" t="n"/>
      <c r="D148" s="49" t="n"/>
      <c r="E148" s="47" t="n"/>
      <c r="F148" s="47" t="n"/>
      <c r="G148" s="50" t="n"/>
      <c r="H148" s="50" t="n"/>
      <c r="I148" s="33">
        <f>IF(G148&gt;0,G148-H148,"")</f>
        <v/>
      </c>
      <c r="J148" s="48" t="n"/>
      <c r="K148" s="62">
        <f>IF(F148="","",IF(I148&gt;0,MAX(0,TODAY()-F148),""))</f>
        <v/>
      </c>
      <c r="L148" s="49" t="n"/>
    </row>
    <row r="149" ht="18" customHeight="1">
      <c r="A149" s="42" t="n">
        <v>147</v>
      </c>
      <c r="B149" s="45" t="n"/>
      <c r="C149" s="45" t="n"/>
      <c r="D149" s="45" t="n"/>
      <c r="E149" s="43" t="n"/>
      <c r="F149" s="43" t="n"/>
      <c r="G149" s="46" t="n"/>
      <c r="H149" s="46" t="n"/>
      <c r="I149" s="30">
        <f>IF(G149&gt;0,G149-H149,"")</f>
        <v/>
      </c>
      <c r="J149" s="44" t="n"/>
      <c r="K149" s="61">
        <f>IF(F149="","",IF(I149&gt;0,MAX(0,TODAY()-F149),""))</f>
        <v/>
      </c>
      <c r="L149" s="45" t="n"/>
    </row>
    <row r="150" ht="18" customHeight="1">
      <c r="A150" s="42" t="n">
        <v>148</v>
      </c>
      <c r="B150" s="49" t="n"/>
      <c r="C150" s="49" t="n"/>
      <c r="D150" s="49" t="n"/>
      <c r="E150" s="47" t="n"/>
      <c r="F150" s="47" t="n"/>
      <c r="G150" s="50" t="n"/>
      <c r="H150" s="50" t="n"/>
      <c r="I150" s="33">
        <f>IF(G150&gt;0,G150-H150,"")</f>
        <v/>
      </c>
      <c r="J150" s="48" t="n"/>
      <c r="K150" s="62">
        <f>IF(F150="","",IF(I150&gt;0,MAX(0,TODAY()-F150),""))</f>
        <v/>
      </c>
      <c r="L150" s="49" t="n"/>
    </row>
    <row r="151" ht="18" customHeight="1">
      <c r="A151" s="42" t="n">
        <v>149</v>
      </c>
      <c r="B151" s="45" t="n"/>
      <c r="C151" s="45" t="n"/>
      <c r="D151" s="45" t="n"/>
      <c r="E151" s="43" t="n"/>
      <c r="F151" s="43" t="n"/>
      <c r="G151" s="46" t="n"/>
      <c r="H151" s="46" t="n"/>
      <c r="I151" s="30">
        <f>IF(G151&gt;0,G151-H151,"")</f>
        <v/>
      </c>
      <c r="J151" s="44" t="n"/>
      <c r="K151" s="61">
        <f>IF(F151="","",IF(I151&gt;0,MAX(0,TODAY()-F151),""))</f>
        <v/>
      </c>
      <c r="L151" s="45" t="n"/>
    </row>
    <row r="152" ht="18" customHeight="1">
      <c r="A152" s="42" t="n">
        <v>150</v>
      </c>
      <c r="B152" s="49" t="n"/>
      <c r="C152" s="49" t="n"/>
      <c r="D152" s="49" t="n"/>
      <c r="E152" s="47" t="n"/>
      <c r="F152" s="47" t="n"/>
      <c r="G152" s="50" t="n"/>
      <c r="H152" s="50" t="n"/>
      <c r="I152" s="33">
        <f>IF(G152&gt;0,G152-H152,"")</f>
        <v/>
      </c>
      <c r="J152" s="48" t="n"/>
      <c r="K152" s="62">
        <f>IF(F152="","",IF(I152&gt;0,MAX(0,TODAY()-F152),""))</f>
        <v/>
      </c>
      <c r="L152" s="49" t="n"/>
    </row>
    <row r="154" ht="16" customHeight="1"/>
    <row r="155">
      <c r="A155" s="10" t="inlineStr">
        <is>
          <t xml:space="preserve">  RESUMEN</t>
        </is>
      </c>
    </row>
    <row r="156" ht="20" customHeight="1">
      <c r="A156" s="63" t="inlineStr">
        <is>
          <t>Total Facturado</t>
        </is>
      </c>
      <c r="B156" s="64" t="n"/>
      <c r="C156" s="64" t="n"/>
      <c r="D156" s="64" t="n"/>
      <c r="E156" s="64" t="n"/>
      <c r="F156" s="65" t="n"/>
      <c r="G156" s="66">
        <f>SUM(G3:G152)</f>
        <v/>
      </c>
      <c r="H156" s="67" t="n"/>
      <c r="I156" s="68" t="n"/>
    </row>
    <row r="157" ht="20" customHeight="1">
      <c r="A157" s="63" t="inlineStr">
        <is>
          <t>Total Cobrado</t>
        </is>
      </c>
      <c r="B157" s="64" t="n"/>
      <c r="C157" s="64" t="n"/>
      <c r="D157" s="64" t="n"/>
      <c r="E157" s="64" t="n"/>
      <c r="F157" s="65" t="n"/>
      <c r="G157" s="66">
        <f>SUM(H3:H152)</f>
        <v/>
      </c>
      <c r="H157" s="67" t="n"/>
      <c r="I157" s="68" t="n"/>
    </row>
    <row r="158" ht="20" customHeight="1">
      <c r="A158" s="63" t="inlineStr">
        <is>
          <t>Saldo Pendiente</t>
        </is>
      </c>
      <c r="B158" s="64" t="n"/>
      <c r="C158" s="64" t="n"/>
      <c r="D158" s="64" t="n"/>
      <c r="E158" s="64" t="n"/>
      <c r="F158" s="65" t="n"/>
      <c r="G158" s="66">
        <f>SUM(I3:I152)</f>
        <v/>
      </c>
      <c r="H158" s="67" t="n"/>
      <c r="I158" s="68" t="n"/>
    </row>
    <row r="159" ht="20" customHeight="1">
      <c r="A159" s="63" t="inlineStr">
        <is>
          <t>Cuentas Vencidas</t>
        </is>
      </c>
      <c r="B159" s="64" t="n"/>
      <c r="C159" s="64" t="n"/>
      <c r="D159" s="64" t="n"/>
      <c r="E159" s="64" t="n"/>
      <c r="F159" s="65" t="n"/>
      <c r="G159" s="69">
        <f>COUNTIF(J3:J152,"Vencido")</f>
        <v/>
      </c>
      <c r="H159" s="67" t="n"/>
      <c r="I159" s="68" t="n"/>
    </row>
  </sheetData>
  <mergeCells count="10">
    <mergeCell ref="G159:I159"/>
    <mergeCell ref="A155:I155"/>
    <mergeCell ref="A156:F156"/>
    <mergeCell ref="A1:L1"/>
    <mergeCell ref="A158:F158"/>
    <mergeCell ref="G158:I158"/>
    <mergeCell ref="A159:F159"/>
    <mergeCell ref="G157:I157"/>
    <mergeCell ref="A157:F157"/>
    <mergeCell ref="G156:I156"/>
  </mergeCells>
  <dataValidations count="1">
    <dataValidation sqref="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showDropDown="0" showInputMessage="0" showErrorMessage="0" allowBlank="0" type="list">
      <formula1>"Pagado,Parcial,Pendiente,Vencido,Anulado"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M23"/>
  <sheetViews>
    <sheetView showGridLines="0" workbookViewId="0">
      <selection activeCell="A1" sqref="A1"/>
    </sheetView>
  </sheetViews>
  <sheetFormatPr baseColWidth="8" defaultRowHeight="15"/>
  <cols>
    <col width="3" customWidth="1" min="1" max="1"/>
    <col width="28"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ht="8" customHeight="1"/>
    <row r="2" ht="40" customHeight="1">
      <c r="B2" s="70" t="inlineStr">
        <is>
          <t>📈  INFORME DE CIERRE MENSUAL</t>
        </is>
      </c>
    </row>
    <row r="3" ht="22" customHeight="1">
      <c r="B3" s="71" t="inlineStr">
        <is>
          <t>Selecciona Mes:</t>
        </is>
      </c>
    </row>
    <row r="4" ht="28" customHeight="1">
      <c r="B4" s="72" t="n">
        <v>3</v>
      </c>
      <c r="C4" s="73" t="inlineStr">
        <is>
          <t>(1=Ene … 12=Dic)</t>
        </is>
      </c>
    </row>
    <row r="5" ht="22" customHeight="1">
      <c r="B5" s="74" t="inlineStr">
        <is>
          <t>Año:</t>
        </is>
      </c>
      <c r="C5" s="75" t="n">
        <v>2026</v>
      </c>
    </row>
    <row r="7" ht="22" customHeight="1">
      <c r="B7" s="10" t="inlineStr">
        <is>
          <t xml:space="preserve">  RESUMEN DEL MES SELECCIONADO</t>
        </is>
      </c>
    </row>
    <row r="8" ht="36" customHeight="1">
      <c r="B8" s="18" t="inlineStr">
        <is>
          <t>💰 INGRESOS</t>
        </is>
      </c>
      <c r="D8" s="19" t="inlineStr">
        <is>
          <t>💸 GASTOS</t>
        </is>
      </c>
      <c r="F8" s="20" t="inlineStr">
        <is>
          <t>📈 BALANCE</t>
        </is>
      </c>
      <c r="H8" s="22" t="inlineStr">
        <is>
          <t>📋 MOVIMIENTOS</t>
        </is>
      </c>
    </row>
    <row r="9" ht="34" customHeight="1">
      <c r="B9" s="76">
        <f>SUMPRODUCT((MONTH('💳 Transacciones'!B$3:B$302)=B4)*(YEAR('💳 Transacciones'!B$3:B$302)=C5)*'💳 Transacciones'!F$3:F$302)</f>
        <v/>
      </c>
      <c r="D9" s="77">
        <f>SUMPRODUCT((MONTH('💳 Transacciones'!B$3:B$302)=B4)*(YEAR('💳 Transacciones'!B$3:B$302)=C5)*'💳 Transacciones'!G$3:G$302)</f>
        <v/>
      </c>
      <c r="F9" s="78">
        <f>C8-E8</f>
        <v/>
      </c>
      <c r="H9" s="79">
        <f>SUMPRODUCT((MONTH('💳 Transacciones'!B$3:B$302)=B4)*(YEAR('💳 Transacciones'!B$3:B$302)=C5)*('💳 Transacciones'!B$3:B$302&lt;&gt;""))</f>
        <v/>
      </c>
    </row>
    <row r="11">
      <c r="B11" s="10" t="inlineStr">
        <is>
          <t xml:space="preserve">  DETALLE DE GASTOS POR CATEGORÍA</t>
        </is>
      </c>
    </row>
    <row r="12" ht="20" customHeight="1">
      <c r="B12" s="38" t="inlineStr">
        <is>
          <t>Categoría</t>
        </is>
      </c>
      <c r="C12" s="38" t="inlineStr">
        <is>
          <t>Monto</t>
        </is>
      </c>
      <c r="D12" s="38" t="inlineStr">
        <is>
          <t>% del Total</t>
        </is>
      </c>
    </row>
    <row r="13" ht="18" customHeight="1">
      <c r="B13" s="39" t="inlineStr">
        <is>
          <t>Compra de Mercadería</t>
        </is>
      </c>
      <c r="C13" s="30">
        <f>SUMPRODUCT((MONTH('💳 Transacciones'!$B$3:$B$302)=B4)*(YEAR('💳 Transacciones'!$B$3:$B$302)=C5)*('💳 Transacciones'!$E$3:$E$302="Compra de Mercadería")*'💳 Transacciones'!$G$3:$G$302)</f>
        <v/>
      </c>
      <c r="D13" s="31">
        <f>IFERROR(C13/SUM($C$13:$C$23),0)</f>
        <v/>
      </c>
    </row>
    <row r="14" ht="18" customHeight="1">
      <c r="B14" s="40" t="inlineStr">
        <is>
          <t>Sueldos y Salarios</t>
        </is>
      </c>
      <c r="C14" s="33">
        <f>SUMPRODUCT((MONTH('💳 Transacciones'!$B$3:$B$302)=B4)*(YEAR('💳 Transacciones'!$B$3:$B$302)=C5)*('💳 Transacciones'!$E$3:$E$302="Sueldos y Salarios")*'💳 Transacciones'!$G$3:$G$302)</f>
        <v/>
      </c>
      <c r="D14" s="34">
        <f>IFERROR(C14/SUM($C$13:$C$23),0)</f>
        <v/>
      </c>
    </row>
    <row r="15" ht="18" customHeight="1">
      <c r="B15" s="39" t="inlineStr">
        <is>
          <t>Alquiler Local</t>
        </is>
      </c>
      <c r="C15" s="30">
        <f>SUMPRODUCT((MONTH('💳 Transacciones'!$B$3:$B$302)=B4)*(YEAR('💳 Transacciones'!$B$3:$B$302)=C5)*('💳 Transacciones'!$E$3:$E$302="Alquiler Local")*'💳 Transacciones'!$G$3:$G$302)</f>
        <v/>
      </c>
      <c r="D15" s="31">
        <f>IFERROR(C15/SUM($C$13:$C$23),0)</f>
        <v/>
      </c>
    </row>
    <row r="16" ht="18" customHeight="1">
      <c r="B16" s="40" t="inlineStr">
        <is>
          <t>Servicios (Agua/Luz/Internet)</t>
        </is>
      </c>
      <c r="C16" s="33">
        <f>SUMPRODUCT((MONTH('💳 Transacciones'!$B$3:$B$302)=B4)*(YEAR('💳 Transacciones'!$B$3:$B$302)=C5)*('💳 Transacciones'!$E$3:$E$302="Servicios (Agua/Luz/Internet)")*'💳 Transacciones'!$G$3:$G$302)</f>
        <v/>
      </c>
      <c r="D16" s="34">
        <f>IFERROR(C16/SUM($C$13:$C$23),0)</f>
        <v/>
      </c>
    </row>
    <row r="17" ht="18" customHeight="1">
      <c r="B17" s="39" t="inlineStr">
        <is>
          <t>Publicidad y Marketing</t>
        </is>
      </c>
      <c r="C17" s="30">
        <f>SUMPRODUCT((MONTH('💳 Transacciones'!$B$3:$B$302)=B4)*(YEAR('💳 Transacciones'!$B$3:$B$302)=C5)*('💳 Transacciones'!$E$3:$E$302="Publicidad y Marketing")*'💳 Transacciones'!$G$3:$G$302)</f>
        <v/>
      </c>
      <c r="D17" s="31">
        <f>IFERROR(C17/SUM($C$13:$C$23),0)</f>
        <v/>
      </c>
    </row>
    <row r="18" ht="18" customHeight="1">
      <c r="B18" s="40" t="inlineStr">
        <is>
          <t>Transporte y Envíos</t>
        </is>
      </c>
      <c r="C18" s="33">
        <f>SUMPRODUCT((MONTH('💳 Transacciones'!$B$3:$B$302)=B4)*(YEAR('💳 Transacciones'!$B$3:$B$302)=C5)*('💳 Transacciones'!$E$3:$E$302="Transporte y Envíos")*'💳 Transacciones'!$G$3:$G$302)</f>
        <v/>
      </c>
      <c r="D18" s="34">
        <f>IFERROR(C18/SUM($C$13:$C$23),0)</f>
        <v/>
      </c>
    </row>
    <row r="19" ht="18" customHeight="1">
      <c r="B19" s="39" t="inlineStr">
        <is>
          <t>Mantenimiento</t>
        </is>
      </c>
      <c r="C19" s="30">
        <f>SUMPRODUCT((MONTH('💳 Transacciones'!$B$3:$B$302)=B4)*(YEAR('💳 Transacciones'!$B$3:$B$302)=C5)*('💳 Transacciones'!$E$3:$E$302="Mantenimiento")*'💳 Transacciones'!$G$3:$G$302)</f>
        <v/>
      </c>
      <c r="D19" s="31">
        <f>IFERROR(C19/SUM($C$13:$C$23),0)</f>
        <v/>
      </c>
    </row>
    <row r="20" ht="18" customHeight="1">
      <c r="B20" s="40" t="inlineStr">
        <is>
          <t>Impuestos y Tributos</t>
        </is>
      </c>
      <c r="C20" s="33">
        <f>SUMPRODUCT((MONTH('💳 Transacciones'!$B$3:$B$302)=B4)*(YEAR('💳 Transacciones'!$B$3:$B$302)=C5)*('💳 Transacciones'!$E$3:$E$302="Impuestos y Tributos")*'💳 Transacciones'!$G$3:$G$302)</f>
        <v/>
      </c>
      <c r="D20" s="34">
        <f>IFERROR(C20/SUM($C$13:$C$23),0)</f>
        <v/>
      </c>
    </row>
    <row r="21" ht="18" customHeight="1">
      <c r="B21" s="39" t="inlineStr">
        <is>
          <t>Materiales y Suministros</t>
        </is>
      </c>
      <c r="C21" s="30">
        <f>SUMPRODUCT((MONTH('💳 Transacciones'!$B$3:$B$302)=B4)*(YEAR('💳 Transacciones'!$B$3:$B$302)=C5)*('💳 Transacciones'!$E$3:$E$302="Materiales y Suministros")*'💳 Transacciones'!$G$3:$G$302)</f>
        <v/>
      </c>
      <c r="D21" s="31">
        <f>IFERROR(C21/SUM($C$13:$C$23),0)</f>
        <v/>
      </c>
    </row>
    <row r="22" ht="18" customHeight="1">
      <c r="B22" s="40" t="inlineStr">
        <is>
          <t>Préstamo / Cuota</t>
        </is>
      </c>
      <c r="C22" s="33">
        <f>SUMPRODUCT((MONTH('💳 Transacciones'!$B$3:$B$302)=B4)*(YEAR('💳 Transacciones'!$B$3:$B$302)=C5)*('💳 Transacciones'!$E$3:$E$302="Préstamo / Cuota")*'💳 Transacciones'!$G$3:$G$302)</f>
        <v/>
      </c>
      <c r="D22" s="34">
        <f>IFERROR(C22/SUM($C$13:$C$23),0)</f>
        <v/>
      </c>
    </row>
    <row r="23" ht="18" customHeight="1">
      <c r="B23" s="39" t="inlineStr">
        <is>
          <t>Otros Gastos</t>
        </is>
      </c>
      <c r="C23" s="30">
        <f>SUMPRODUCT((MONTH('💳 Transacciones'!$B$3:$B$302)=B4)*(YEAR('💳 Transacciones'!$B$3:$B$302)=C5)*('💳 Transacciones'!$E$3:$E$302="Otros Gastos")*'💳 Transacciones'!$G$3:$G$302)</f>
        <v/>
      </c>
      <c r="D23" s="31">
        <f>IFERROR(C23/SUM($C$13:$C$23),0)</f>
        <v/>
      </c>
    </row>
  </sheetData>
  <mergeCells count="11">
    <mergeCell ref="D8:E8"/>
    <mergeCell ref="B2:M2"/>
    <mergeCell ref="B7:M7"/>
    <mergeCell ref="B11:M11"/>
    <mergeCell ref="H8:I8"/>
    <mergeCell ref="B9:C9"/>
    <mergeCell ref="D9:E9"/>
    <mergeCell ref="B8:C8"/>
    <mergeCell ref="H9:I9"/>
    <mergeCell ref="F9:G9"/>
    <mergeCell ref="F8:G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G15"/>
  <sheetViews>
    <sheetView showGridLines="0" workbookViewId="0">
      <selection activeCell="A1" sqref="A1"/>
    </sheetView>
  </sheetViews>
  <sheetFormatPr baseColWidth="8" defaultRowHeight="15"/>
  <cols>
    <col width="3" customWidth="1" min="1" max="1"/>
    <col width="26" customWidth="1" min="2" max="2"/>
    <col width="60" customWidth="1" min="3" max="3"/>
  </cols>
  <sheetData>
    <row r="1" ht="8" customHeight="1"/>
    <row r="2" ht="42" customHeight="1">
      <c r="B2" s="70" t="inlineStr">
        <is>
          <t>❓  GUÍA DE USO — FinanzPro</t>
        </is>
      </c>
    </row>
    <row r="4" ht="26" customHeight="1">
      <c r="B4" s="80" t="inlineStr">
        <is>
          <t>🏠 Inicio</t>
        </is>
      </c>
      <c r="C4" s="81" t="inlineStr">
        <is>
          <t>Completa los datos de tu empresa o negocio en la hoja Inicio.</t>
        </is>
      </c>
      <c r="D4" s="82" t="n"/>
      <c r="E4" s="82" t="n"/>
      <c r="F4" s="82" t="n"/>
      <c r="G4" s="83" t="n"/>
    </row>
    <row r="5" ht="26" customHeight="1">
      <c r="B5" s="84" t="inlineStr">
        <is>
          <t>💳 Transacciones</t>
        </is>
      </c>
      <c r="C5" s="85" t="inlineStr">
        <is>
          <t>Registra CADA movimiento: fecha, tipo (Ingreso/Gasto), descripción, categoría, monto y método de pago.</t>
        </is>
      </c>
      <c r="D5" s="82" t="n"/>
      <c r="E5" s="82" t="n"/>
      <c r="F5" s="82" t="n"/>
      <c r="G5" s="83" t="n"/>
    </row>
    <row r="6" ht="26" customHeight="1">
      <c r="B6" s="80" t="inlineStr">
        <is>
          <t>📊 Dashboard</t>
        </is>
      </c>
      <c r="C6" s="81" t="inlineStr">
        <is>
          <t>El dashboard se actualiza automáticamente con tus datos. No edites las celdas con fórmulas (fondo azul/verde/rojo).</t>
        </is>
      </c>
      <c r="D6" s="82" t="n"/>
      <c r="E6" s="82" t="n"/>
      <c r="F6" s="82" t="n"/>
      <c r="G6" s="83" t="n"/>
    </row>
    <row r="7" ht="26" customHeight="1">
      <c r="B7" s="84" t="inlineStr">
        <is>
          <t>📦 Inventario</t>
        </is>
      </c>
      <c r="C7" s="85" t="inlineStr">
        <is>
          <t>Para negocios/bodegas: registra tus productos, stock mínimo y actual. El semáforo 🟢🟡🔴 se actualiza solo.</t>
        </is>
      </c>
      <c r="D7" s="82" t="n"/>
      <c r="E7" s="82" t="n"/>
      <c r="F7" s="82" t="n"/>
      <c r="G7" s="83" t="n"/>
    </row>
    <row r="8" ht="26" customHeight="1">
      <c r="B8" s="80" t="inlineStr">
        <is>
          <t>👥 Clientes</t>
        </is>
      </c>
      <c r="C8" s="81" t="inlineStr">
        <is>
          <t>Registra tus cuentas por cobrar. Ingresa fecha de vencimiento y el saldo pendiente se calcula automático.</t>
        </is>
      </c>
      <c r="D8" s="82" t="n"/>
      <c r="E8" s="82" t="n"/>
      <c r="F8" s="82" t="n"/>
      <c r="G8" s="83" t="n"/>
    </row>
    <row r="9" ht="26" customHeight="1">
      <c r="B9" s="84" t="inlineStr">
        <is>
          <t>📈 Informe Mensual</t>
        </is>
      </c>
      <c r="C9" s="85" t="inlineStr">
        <is>
          <t>Cambia el número de mes en celda B4 (1-12) para ver el cierre de cualquier mes del año.</t>
        </is>
      </c>
      <c r="D9" s="82" t="n"/>
      <c r="E9" s="82" t="n"/>
      <c r="F9" s="82" t="n"/>
      <c r="G9" s="83" t="n"/>
    </row>
    <row r="10" ht="26" customHeight="1">
      <c r="B10" s="80" t="inlineStr">
        <is>
          <t>💡 Tip: Categorías</t>
        </is>
      </c>
      <c r="C10" s="81" t="inlineStr">
        <is>
          <t>Usa las categorías predefinidas del desplegable para que el Dashboard agrupe correctamente.</t>
        </is>
      </c>
      <c r="D10" s="82" t="n"/>
      <c r="E10" s="82" t="n"/>
      <c r="F10" s="82" t="n"/>
      <c r="G10" s="83" t="n"/>
    </row>
    <row r="11" ht="26" customHeight="1">
      <c r="B11" s="84" t="inlineStr">
        <is>
          <t>💡 Tip: Fechas</t>
        </is>
      </c>
      <c r="C11" s="85" t="inlineStr">
        <is>
          <t>Siempre ingresa fechas en formato DD/MM/YYYY o usando el selector de fecha de Excel.</t>
        </is>
      </c>
      <c r="D11" s="82" t="n"/>
      <c r="E11" s="82" t="n"/>
      <c r="F11" s="82" t="n"/>
      <c r="G11" s="83" t="n"/>
    </row>
    <row r="12" ht="26" customHeight="1">
      <c r="B12" s="80" t="inlineStr">
        <is>
          <t>💡 Tip: Backup</t>
        </is>
      </c>
      <c r="C12" s="81" t="inlineStr">
        <is>
          <t>Guarda una copia del archivo al final de cada mes con el nombre: FinanzPro_MMYYYY.xlsx</t>
        </is>
      </c>
      <c r="D12" s="82" t="n"/>
      <c r="E12" s="82" t="n"/>
      <c r="F12" s="82" t="n"/>
      <c r="G12" s="83" t="n"/>
    </row>
    <row r="13" ht="26" customHeight="1">
      <c r="B13" s="84" t="inlineStr">
        <is>
          <t>⚠️ Importante</t>
        </is>
      </c>
      <c r="C13" s="85" t="inlineStr">
        <is>
          <t>NO elimines las filas de encabezado ni las hojas de sistema (⚙ Listas). Puedes agregar filas antes de la fila TOTALES.</t>
        </is>
      </c>
      <c r="D13" s="82" t="n"/>
      <c r="E13" s="82" t="n"/>
      <c r="F13" s="82" t="n"/>
      <c r="G13" s="83" t="n"/>
    </row>
    <row r="15" ht="30" customHeight="1">
      <c r="B15" s="86" t="inlineStr">
        <is>
          <t>© FinanzPro 2025 · Plantilla Profesional de Gestión Financiera</t>
        </is>
      </c>
    </row>
  </sheetData>
  <mergeCells count="12">
    <mergeCell ref="B2:G2"/>
    <mergeCell ref="C4:G4"/>
    <mergeCell ref="C7:G7"/>
    <mergeCell ref="C12:G12"/>
    <mergeCell ref="C6:G6"/>
    <mergeCell ref="C10:G10"/>
    <mergeCell ref="C11:G11"/>
    <mergeCell ref="C5:G5"/>
    <mergeCell ref="C13:G13"/>
    <mergeCell ref="C8:G8"/>
    <mergeCell ref="C9:G9"/>
    <mergeCell ref="B15:G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Cat_Ingreso</t>
        </is>
      </c>
      <c r="B1" t="inlineStr">
        <is>
          <t>Cat_Gasto</t>
        </is>
      </c>
      <c r="C1" t="inlineStr">
        <is>
          <t>Metodo</t>
        </is>
      </c>
      <c r="D1" t="inlineStr">
        <is>
          <t>Estado</t>
        </is>
      </c>
      <c r="E1" t="inlineStr">
        <is>
          <t>Tipo</t>
        </is>
      </c>
      <c r="F1" t="inlineStr">
        <is>
          <t>Unidad</t>
        </is>
      </c>
    </row>
    <row r="2">
      <c r="A2" t="inlineStr">
        <is>
          <t>Ventas de Productos</t>
        </is>
      </c>
      <c r="B2" t="inlineStr">
        <is>
          <t>Compra de Mercadería</t>
        </is>
      </c>
      <c r="C2" t="inlineStr">
        <is>
          <t>Efectivo</t>
        </is>
      </c>
      <c r="D2" t="inlineStr">
        <is>
          <t>Pagado</t>
        </is>
      </c>
      <c r="E2" t="inlineStr">
        <is>
          <t>Ingreso</t>
        </is>
      </c>
      <c r="F2" t="inlineStr">
        <is>
          <t>Unidad</t>
        </is>
      </c>
    </row>
    <row r="3">
      <c r="A3" t="inlineStr">
        <is>
          <t>Ventas de Servicios</t>
        </is>
      </c>
      <c r="B3" t="inlineStr">
        <is>
          <t>Sueldos y Salarios</t>
        </is>
      </c>
      <c r="C3" t="inlineStr">
        <is>
          <t>Transferencia</t>
        </is>
      </c>
      <c r="D3" t="inlineStr">
        <is>
          <t>Pendiente</t>
        </is>
      </c>
      <c r="E3" t="inlineStr">
        <is>
          <t>Gasto</t>
        </is>
      </c>
      <c r="F3" t="inlineStr">
        <is>
          <t>Kg</t>
        </is>
      </c>
    </row>
    <row r="4">
      <c r="A4" t="inlineStr">
        <is>
          <t>Comisiones</t>
        </is>
      </c>
      <c r="B4" t="inlineStr">
        <is>
          <t>Alquiler Local</t>
        </is>
      </c>
      <c r="C4" t="inlineStr">
        <is>
          <t>Tarjeta de Crédito</t>
        </is>
      </c>
      <c r="D4" t="inlineStr">
        <is>
          <t>Anulado</t>
        </is>
      </c>
      <c r="F4" t="inlineStr">
        <is>
          <t>Lt</t>
        </is>
      </c>
    </row>
    <row r="5">
      <c r="A5" t="inlineStr">
        <is>
          <t>Alquileres</t>
        </is>
      </c>
      <c r="B5" t="inlineStr">
        <is>
          <t>Servicios (Agua/Luz/Internet)</t>
        </is>
      </c>
      <c r="C5" t="inlineStr">
        <is>
          <t>Tarjeta de Débito</t>
        </is>
      </c>
      <c r="F5" t="inlineStr">
        <is>
          <t>Caja</t>
        </is>
      </c>
    </row>
    <row r="6">
      <c r="A6" t="inlineStr">
        <is>
          <t>Intereses</t>
        </is>
      </c>
      <c r="B6" t="inlineStr">
        <is>
          <t>Publicidad y Marketing</t>
        </is>
      </c>
      <c r="C6" t="inlineStr">
        <is>
          <t>Cheque</t>
        </is>
      </c>
      <c r="F6" t="inlineStr">
        <is>
          <t>Paquete</t>
        </is>
      </c>
    </row>
    <row r="7">
      <c r="A7" t="inlineStr">
        <is>
          <t>Préstamos Recibidos</t>
        </is>
      </c>
      <c r="B7" t="inlineStr">
        <is>
          <t>Transporte y Envíos</t>
        </is>
      </c>
      <c r="C7" t="inlineStr">
        <is>
          <t>Yape/Plin</t>
        </is>
      </c>
      <c r="F7" t="inlineStr">
        <is>
          <t>Docena</t>
        </is>
      </c>
    </row>
    <row r="8">
      <c r="A8" t="inlineStr">
        <is>
          <t>Devoluciones</t>
        </is>
      </c>
      <c r="B8" t="inlineStr">
        <is>
          <t>Mantenimiento</t>
        </is>
      </c>
      <c r="C8" t="inlineStr">
        <is>
          <t>Nequi</t>
        </is>
      </c>
      <c r="F8" t="inlineStr">
        <is>
          <t>Metro</t>
        </is>
      </c>
    </row>
    <row r="9">
      <c r="A9" t="inlineStr">
        <is>
          <t>Otros Ingresos</t>
        </is>
      </c>
      <c r="B9" t="inlineStr">
        <is>
          <t>Impuestos y Tributos</t>
        </is>
      </c>
      <c r="C9" t="inlineStr">
        <is>
          <t>Daviplata</t>
        </is>
      </c>
      <c r="F9" t="inlineStr">
        <is>
          <t>Par</t>
        </is>
      </c>
    </row>
    <row r="10">
      <c r="B10" t="inlineStr">
        <is>
          <t>Materiales y Suministros</t>
        </is>
      </c>
      <c r="C10" t="inlineStr">
        <is>
          <t>Otro</t>
        </is>
      </c>
      <c r="F10" t="inlineStr">
        <is>
          <t>Bolsa</t>
        </is>
      </c>
    </row>
    <row r="11">
      <c r="B11" t="inlineStr">
        <is>
          <t>Préstamo / Cuota</t>
        </is>
      </c>
    </row>
    <row r="12">
      <c r="B12" t="inlineStr">
        <is>
          <t>Otros Gastos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2026-03-05T18:59:29Z</dcterms:created>
  <dcterms:modified xsi:type="dcterms:W3CDTF">2026-03-05T18:59:30Z</dcterms:modified>
</cp:coreProperties>
</file>