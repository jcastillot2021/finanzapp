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🏠 Dashboard" sheetId="1" state="visible" r:id="rId1"/>
    <sheet name="⚙ Config" sheetId="2" state="visible" r:id="rId2"/>
    <sheet name="📋 Transacciones" sheetId="3" state="visible" r:id="rId3"/>
    <sheet name="📊 Presupuesto" sheetId="4" state="visible" r:id="rId4"/>
    <sheet name="💰 Ahorr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S/.&quot; #,##0.00"/>
    <numFmt numFmtId="165" formatCode="&quot;$&quot; #,##0.00"/>
    <numFmt numFmtId="166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374151"/>
      <sz val="10"/>
    </font>
    <font>
      <name val="Calibri"/>
      <b val="1"/>
      <color rgb="002563EB"/>
      <sz val="10"/>
    </font>
    <font>
      <name val="Calibri"/>
      <color rgb="006B7280"/>
      <sz val="10"/>
    </font>
    <font>
      <name val="Calibri"/>
      <i val="1"/>
      <color rgb="0092400E"/>
      <sz val="9"/>
    </font>
    <font>
      <name val="Calibri"/>
      <b val="1"/>
      <color rgb="00FFFFFF"/>
      <sz val="10"/>
    </font>
    <font>
      <name val="Calibri"/>
      <b val="1"/>
      <color rgb="00166534"/>
      <sz val="9"/>
    </font>
    <font>
      <name val="Calibri"/>
      <b val="1"/>
      <color rgb="00991B1B"/>
      <sz val="9"/>
    </font>
    <font>
      <name val="Calibri"/>
      <b val="1"/>
      <color rgb="0092400E"/>
      <sz val="9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1E3A5F"/>
      <sz val="13"/>
    </font>
    <font>
      <name val="Calibri"/>
      <b val="1"/>
      <color rgb="0016A34A"/>
      <sz val="11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166534"/>
      <sz val="11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374151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1" fillId="2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164" fontId="13" fillId="7" borderId="1" applyAlignment="1" pivotButton="0" quotePrefix="0" xfId="0">
      <alignment horizontal="center" vertical="center" wrapText="1"/>
    </xf>
    <xf numFmtId="164" fontId="13" fillId="8" borderId="1" applyAlignment="1" pivotButton="0" quotePrefix="0" xfId="0">
      <alignment horizontal="center" vertical="center" wrapText="1"/>
    </xf>
    <xf numFmtId="164" fontId="13" fillId="6" borderId="1" applyAlignment="1" pivotButton="0" quotePrefix="0" xfId="0">
      <alignment horizontal="center" vertical="center" wrapText="1"/>
    </xf>
    <xf numFmtId="165" fontId="14" fillId="7" borderId="1" applyAlignment="1" pivotButton="0" quotePrefix="0" xfId="0">
      <alignment horizontal="center" vertical="center" wrapText="1"/>
    </xf>
    <xf numFmtId="165" fontId="14" fillId="8" borderId="1" applyAlignment="1" pivotButton="0" quotePrefix="0" xfId="0">
      <alignment horizontal="center" vertical="center" wrapText="1"/>
    </xf>
    <xf numFmtId="165" fontId="14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166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2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2" fontId="3" fillId="5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right" vertical="center"/>
    </xf>
    <xf numFmtId="0" fontId="0" fillId="2" borderId="0" pivotButton="0" quotePrefix="0" xfId="0"/>
    <xf numFmtId="165" fontId="7" fillId="2" borderId="1" applyAlignment="1" pivotButton="0" quotePrefix="0" xfId="0">
      <alignment horizontal="right" vertical="center"/>
    </xf>
    <xf numFmtId="9" fontId="3" fillId="4" borderId="1" applyAlignment="1" pivotButton="0" quotePrefix="0" xfId="0">
      <alignment horizontal="center" vertical="center" wrapText="1"/>
    </xf>
    <xf numFmtId="9" fontId="3" fillId="5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166" fontId="3" fillId="4" borderId="1" applyAlignment="1" pivotButton="0" quotePrefix="0" xfId="0">
      <alignment horizontal="center" vertical="center" wrapText="1"/>
    </xf>
    <xf numFmtId="166" fontId="3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2" fillId="2" borderId="1" applyAlignment="1" pivotButton="0" quotePrefix="0" xfId="0">
      <alignment horizontal="right" vertical="center"/>
    </xf>
    <xf numFmtId="165" fontId="2" fillId="2" borderId="1" applyAlignment="1" pivotButton="0" quotePrefix="0" xfId="0">
      <alignment horizontal="right" vertical="center"/>
    </xf>
    <xf numFmtId="0" fontId="17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Distribución de Gastos (S/.)</a:t>
            </a:r>
          </a:p>
        </rich>
      </tx>
    </title>
    <plotArea>
      <pieChart>
        <varyColors val="1"/>
        <ser>
          <idx val="0"/>
          <order val="0"/>
          <tx>
            <strRef>
              <f>'🏠 Dashboard'!C11</f>
            </strRef>
          </tx>
          <spPr>
            <a:ln>
              <a:prstDash val="solid"/>
            </a:ln>
          </spPr>
          <cat>
            <numRef>
              <f>'🏠 Dashboard'!$B$12:$B$20</f>
            </numRef>
          </cat>
          <val>
            <numRef>
              <f>'🏠 Dashboard'!$C$12:$C$20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21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3" customWidth="1" min="6" max="6"/>
    <col width="18" customWidth="1" min="7" max="7"/>
    <col width="18" customWidth="1" min="8" max="8"/>
    <col width="18" customWidth="1" min="9" max="9"/>
    <col width="18" customWidth="1" min="10" max="10"/>
    <col width="3" customWidth="1" min="11" max="11"/>
    <col width="3" customWidth="1" min="12" max="12"/>
  </cols>
  <sheetData>
    <row r="1" ht="42" customHeight="1">
      <c r="B1" s="1" t="inlineStr">
        <is>
          <t>🏠  FINANZPRO  |  DASHBOARD BIMONEDA  —  MARZO 2026</t>
        </is>
      </c>
    </row>
    <row r="2" ht="20" customHeight="1">
      <c r="B2" s="2" t="inlineStr">
        <is>
          <t>Tipo de cambio: S/. 3.75 por USD  |  Fuente: '⚙ Config'!B4</t>
        </is>
      </c>
    </row>
    <row r="3" ht="22" customHeight="1"/>
    <row r="4" ht="20" customHeight="1">
      <c r="B4" s="3" t="inlineStr">
        <is>
          <t>💰 INGRESOS TOTALES</t>
        </is>
      </c>
      <c r="E4" s="4" t="inlineStr">
        <is>
          <t>💸 GASTOS TOTALES</t>
        </is>
      </c>
      <c r="H4" s="5" t="inlineStr">
        <is>
          <t>🏦 AHORRO DEL MES</t>
        </is>
      </c>
    </row>
    <row r="5" ht="28" customHeight="1">
      <c r="B5" s="6" t="n">
        <v>5931.25</v>
      </c>
      <c r="E5" s="7" t="n">
        <v>2604.5</v>
      </c>
      <c r="H5" s="8" t="n">
        <v>875</v>
      </c>
    </row>
    <row r="6" ht="24" customHeight="1">
      <c r="B6" s="9" t="n">
        <v>1581.67</v>
      </c>
      <c r="E6" s="10" t="n">
        <v>694.53</v>
      </c>
      <c r="H6" s="11" t="n">
        <v>233.33</v>
      </c>
    </row>
    <row r="7" ht="16" customHeight="1">
      <c r="B7" s="12" t="inlineStr"/>
      <c r="E7" s="13" t="inlineStr"/>
      <c r="H7" s="14" t="inlineStr"/>
    </row>
    <row r="8" ht="28" customHeight="1">
      <c r="B8" s="15" t="inlineStr">
        <is>
          <t>BALANCE NETO DEL MES:   S/. 3,326.75   |   USD  887.13</t>
        </is>
      </c>
    </row>
    <row r="9" ht="22" customHeight="1"/>
    <row r="10" ht="22" customHeight="1">
      <c r="B10" s="16" t="inlineStr">
        <is>
          <t>📌 GASTOS POR CATEGORÍA</t>
        </is>
      </c>
      <c r="G10" s="16" t="inlineStr">
        <is>
          <t>💱 CONVERSIÓN RÁPIDA</t>
        </is>
      </c>
    </row>
    <row r="11" ht="22" customHeight="1">
      <c r="A11" s="17" t="inlineStr">
        <is>
          <t>USD</t>
        </is>
      </c>
      <c r="B11" s="17" t="inlineStr">
        <is>
          <t>→ S/.</t>
        </is>
      </c>
      <c r="C11" s="17" t="inlineStr">
        <is>
          <t>S/.</t>
        </is>
      </c>
      <c r="D11" s="17" t="inlineStr">
        <is>
          <t>→ USD</t>
        </is>
      </c>
    </row>
    <row r="12" ht="18" customHeight="1">
      <c r="B12" s="18" t="inlineStr">
        <is>
          <t>Alimentación</t>
        </is>
      </c>
      <c r="C12" s="19" t="n">
        <v>815</v>
      </c>
      <c r="D12" s="20" t="n">
        <v>217.33</v>
      </c>
      <c r="E12" s="21" t="n">
        <v>0.313</v>
      </c>
      <c r="G12" s="20" t="n">
        <v>1</v>
      </c>
      <c r="H12" s="19" t="n">
        <v>3.75</v>
      </c>
      <c r="I12" s="20" t="n">
        <v>10</v>
      </c>
      <c r="J12" s="19" t="n">
        <v>2.67</v>
      </c>
    </row>
    <row r="13" ht="18" customHeight="1">
      <c r="B13" s="22" t="inlineStr">
        <is>
          <t>Transporte</t>
        </is>
      </c>
      <c r="C13" s="23" t="n">
        <v>165</v>
      </c>
      <c r="D13" s="24" t="n">
        <v>44</v>
      </c>
      <c r="E13" s="25" t="n">
        <v>0.063</v>
      </c>
      <c r="G13" s="24" t="n">
        <v>5</v>
      </c>
      <c r="H13" s="23" t="n">
        <v>18.75</v>
      </c>
      <c r="I13" s="24" t="n">
        <v>50</v>
      </c>
      <c r="J13" s="23" t="n">
        <v>13.33</v>
      </c>
    </row>
    <row r="14" ht="18" customHeight="1">
      <c r="B14" s="18" t="inlineStr">
        <is>
          <t>Servicios</t>
        </is>
      </c>
      <c r="C14" s="19" t="n">
        <v>189</v>
      </c>
      <c r="D14" s="20" t="n">
        <v>50.4</v>
      </c>
      <c r="E14" s="21" t="n">
        <v>0.073</v>
      </c>
      <c r="G14" s="20" t="n">
        <v>10</v>
      </c>
      <c r="H14" s="19" t="n">
        <v>37.5</v>
      </c>
      <c r="I14" s="20" t="n">
        <v>100</v>
      </c>
      <c r="J14" s="19" t="n">
        <v>26.67</v>
      </c>
    </row>
    <row r="15" ht="18" customHeight="1">
      <c r="B15" s="22" t="inlineStr">
        <is>
          <t>Entretenimiento</t>
        </is>
      </c>
      <c r="C15" s="23" t="n">
        <v>210.5</v>
      </c>
      <c r="D15" s="24" t="n">
        <v>56.13</v>
      </c>
      <c r="E15" s="25" t="n">
        <v>0.081</v>
      </c>
      <c r="G15" s="24" t="n">
        <v>20</v>
      </c>
      <c r="H15" s="23" t="n">
        <v>75</v>
      </c>
      <c r="I15" s="24" t="n">
        <v>200</v>
      </c>
      <c r="J15" s="23" t="n">
        <v>53.33</v>
      </c>
    </row>
    <row r="16" ht="18" customHeight="1">
      <c r="B16" s="18" t="inlineStr">
        <is>
          <t>Salud</t>
        </is>
      </c>
      <c r="C16" s="19" t="n">
        <v>218</v>
      </c>
      <c r="D16" s="20" t="n">
        <v>58.13</v>
      </c>
      <c r="E16" s="21" t="n">
        <v>0.08400000000000001</v>
      </c>
      <c r="G16" s="20" t="n">
        <v>50</v>
      </c>
      <c r="H16" s="19" t="n">
        <v>187.5</v>
      </c>
      <c r="I16" s="20" t="n">
        <v>500</v>
      </c>
      <c r="J16" s="19" t="n">
        <v>133.33</v>
      </c>
    </row>
    <row r="17" ht="18" customHeight="1">
      <c r="B17" s="22" t="inlineStr">
        <is>
          <t>Ropa</t>
        </is>
      </c>
      <c r="C17" s="23" t="n">
        <v>346.25</v>
      </c>
      <c r="D17" s="24" t="n">
        <v>92.33</v>
      </c>
      <c r="E17" s="25" t="n">
        <v>0.133</v>
      </c>
      <c r="G17" s="24" t="n">
        <v>100</v>
      </c>
      <c r="H17" s="23" t="n">
        <v>375</v>
      </c>
      <c r="I17" s="24" t="n">
        <v>1000</v>
      </c>
      <c r="J17" s="23" t="n">
        <v>266.67</v>
      </c>
    </row>
    <row r="18" ht="18" customHeight="1">
      <c r="B18" s="18" t="inlineStr">
        <is>
          <t>Educación</t>
        </is>
      </c>
      <c r="C18" s="19" t="n">
        <v>131.25</v>
      </c>
      <c r="D18" s="20" t="n">
        <v>35</v>
      </c>
      <c r="E18" s="21" t="n">
        <v>0.05</v>
      </c>
      <c r="G18" s="20" t="n">
        <v>200</v>
      </c>
      <c r="H18" s="19" t="n">
        <v>750</v>
      </c>
      <c r="I18" s="20" t="n">
        <v>2000</v>
      </c>
      <c r="J18" s="19" t="n">
        <v>533.33</v>
      </c>
    </row>
    <row r="19" ht="18" customHeight="1">
      <c r="B19" s="22" t="inlineStr">
        <is>
          <t>Hogar</t>
        </is>
      </c>
      <c r="C19" s="23" t="n">
        <v>87</v>
      </c>
      <c r="D19" s="24" t="n">
        <v>23.2</v>
      </c>
      <c r="E19" s="25" t="n">
        <v>0.033</v>
      </c>
      <c r="G19" s="24" t="n">
        <v>500</v>
      </c>
      <c r="H19" s="23" t="n">
        <v>1875</v>
      </c>
      <c r="I19" s="24" t="n">
        <v>5000</v>
      </c>
      <c r="J19" s="23" t="n">
        <v>1333.33</v>
      </c>
    </row>
    <row r="20" ht="18" customHeight="1">
      <c r="B20" s="18" t="inlineStr">
        <is>
          <t>Ahorro</t>
        </is>
      </c>
      <c r="C20" s="19" t="n">
        <v>875</v>
      </c>
      <c r="D20" s="20" t="n">
        <v>233.33</v>
      </c>
      <c r="E20" s="21" t="n">
        <v>0.336</v>
      </c>
      <c r="G20" s="20" t="n">
        <v>1000</v>
      </c>
      <c r="H20" s="19" t="n">
        <v>3750</v>
      </c>
      <c r="I20" s="20" t="n">
        <v>10000</v>
      </c>
      <c r="J20" s="19" t="n">
        <v>2666.67</v>
      </c>
    </row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</sheetData>
  <mergeCells count="17">
    <mergeCell ref="B6:C6"/>
    <mergeCell ref="E4:F4"/>
    <mergeCell ref="E6:F6"/>
    <mergeCell ref="G10:J10"/>
    <mergeCell ref="H6:I6"/>
    <mergeCell ref="B7:C7"/>
    <mergeCell ref="E7:F7"/>
    <mergeCell ref="B5:C5"/>
    <mergeCell ref="H7:I7"/>
    <mergeCell ref="E5:F5"/>
    <mergeCell ref="B1:J1"/>
    <mergeCell ref="H5:I5"/>
    <mergeCell ref="B8:J8"/>
    <mergeCell ref="H4:I4"/>
    <mergeCell ref="B10:E10"/>
    <mergeCell ref="B4:C4"/>
    <mergeCell ref="B2:J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4" customWidth="1" min="3" max="3"/>
  </cols>
  <sheetData>
    <row r="1" ht="36" customHeight="1">
      <c r="A1" s="26" t="inlineStr">
        <is>
          <t>⚙  CONFIGURACIÓN  BIMONEDA</t>
        </is>
      </c>
    </row>
    <row r="3" ht="22" customHeight="1">
      <c r="A3" s="27" t="inlineStr">
        <is>
          <t>Parámetro</t>
        </is>
      </c>
      <c r="B3" s="27" t="inlineStr">
        <is>
          <t>Valor</t>
        </is>
      </c>
      <c r="C3" s="27" t="inlineStr">
        <is>
          <t>Descripción</t>
        </is>
      </c>
    </row>
    <row r="4" ht="20" customHeight="1">
      <c r="A4" s="18" t="inlineStr">
        <is>
          <t>Tipo de cambio (S/. por USD)</t>
        </is>
      </c>
      <c r="B4" s="28" t="n">
        <v>3.75</v>
      </c>
      <c r="C4" s="29" t="inlineStr">
        <is>
          <t>Soles por 1 dólar</t>
        </is>
      </c>
    </row>
    <row r="5" ht="20" customHeight="1">
      <c r="A5" s="22" t="inlineStr">
        <is>
          <t>Moneda principal</t>
        </is>
      </c>
      <c r="B5" s="30" t="inlineStr">
        <is>
          <t>PEN</t>
        </is>
      </c>
      <c r="C5" s="31" t="inlineStr">
        <is>
          <t>PEN = Soles / USD = Dólares</t>
        </is>
      </c>
    </row>
    <row r="6" ht="20" customHeight="1">
      <c r="A6" s="18" t="inlineStr">
        <is>
          <t>Mes activo</t>
        </is>
      </c>
      <c r="B6" s="28" t="inlineStr">
        <is>
          <t>Marzo 2026</t>
        </is>
      </c>
      <c r="C6" s="29" t="inlineStr">
        <is>
          <t>Mes de control</t>
        </is>
      </c>
    </row>
    <row r="7" ht="20" customHeight="1">
      <c r="A7" s="22" t="inlineStr">
        <is>
          <t>Presupuesto mensual (S/.)</t>
        </is>
      </c>
      <c r="B7" s="30" t="n">
        <v>5500</v>
      </c>
      <c r="C7" s="31" t="inlineStr">
        <is>
          <t>Meta de gasto máximo en soles</t>
        </is>
      </c>
    </row>
    <row r="8" ht="20" customHeight="1">
      <c r="A8" s="18" t="inlineStr">
        <is>
          <t>Presupuesto mensual (USD)</t>
        </is>
      </c>
      <c r="B8" s="28" t="n">
        <v>1466.67</v>
      </c>
      <c r="C8" s="29" t="inlineStr">
        <is>
          <t>Meta de gasto máximo en dólares</t>
        </is>
      </c>
    </row>
    <row r="9" ht="20" customHeight="1">
      <c r="A9" s="22" t="inlineStr">
        <is>
          <t>Meta de ahorro (%)</t>
        </is>
      </c>
      <c r="B9" s="30" t="n">
        <v>20</v>
      </c>
      <c r="C9" s="31" t="inlineStr">
        <is>
          <t>Porcentaje sobre ingresos</t>
        </is>
      </c>
    </row>
    <row r="11">
      <c r="A11" s="32" t="inlineStr">
        <is>
          <t>💡 Modifica el tipo de cambio aquí y todas las hojas se actualizan automáticamente.</t>
        </is>
      </c>
    </row>
  </sheetData>
  <mergeCells count="2">
    <mergeCell ref="A1:C1"/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8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6" customWidth="1" min="10" max="10"/>
  </cols>
  <sheetData>
    <row r="1" ht="36" customHeight="1">
      <c r="A1" s="26" t="inlineStr">
        <is>
          <t>📋  REGISTRO DE TRANSACCIONES  |  MARZO 2026</t>
        </is>
      </c>
    </row>
    <row r="3" ht="30" customHeight="1">
      <c r="A3" s="33" t="inlineStr">
        <is>
          <t>Fecha</t>
        </is>
      </c>
      <c r="B3" s="33" t="inlineStr">
        <is>
          <t>Tipo</t>
        </is>
      </c>
      <c r="C3" s="33" t="inlineStr">
        <is>
          <t>Categoría</t>
        </is>
      </c>
      <c r="D3" s="33" t="inlineStr">
        <is>
          <t>Descripción</t>
        </is>
      </c>
      <c r="E3" s="33" t="inlineStr">
        <is>
          <t>Moneda</t>
        </is>
      </c>
      <c r="F3" s="33" t="inlineStr">
        <is>
          <t>Importe
original</t>
        </is>
      </c>
      <c r="G3" s="33" t="inlineStr">
        <is>
          <t>T.C.</t>
        </is>
      </c>
      <c r="H3" s="33" t="inlineStr">
        <is>
          <t>Importe
(S/.)</t>
        </is>
      </c>
      <c r="I3" s="33" t="inlineStr">
        <is>
          <t>Importe
(USD)</t>
        </is>
      </c>
      <c r="J3" s="33" t="inlineStr">
        <is>
          <t>Estado</t>
        </is>
      </c>
    </row>
    <row r="4" ht="18" customHeight="1">
      <c r="A4" s="18" t="inlineStr">
        <is>
          <t>01/03/2026</t>
        </is>
      </c>
      <c r="B4" s="18" t="inlineStr">
        <is>
          <t>Ingreso</t>
        </is>
      </c>
      <c r="C4" s="18" t="inlineStr">
        <is>
          <t>Sueldo</t>
        </is>
      </c>
      <c r="D4" s="18" t="inlineStr">
        <is>
          <t>Sueldo mensual neto</t>
        </is>
      </c>
      <c r="E4" s="34" t="inlineStr">
        <is>
          <t>PEN</t>
        </is>
      </c>
      <c r="F4" s="19" t="n">
        <v>4200</v>
      </c>
      <c r="G4" s="35" t="n">
        <v>3.75</v>
      </c>
      <c r="H4" s="19" t="n">
        <v>4200</v>
      </c>
      <c r="I4" s="20" t="n">
        <v>1120</v>
      </c>
      <c r="J4" s="3" t="inlineStr">
        <is>
          <t>✅ Ingreso</t>
        </is>
      </c>
    </row>
    <row r="5" ht="18" customHeight="1">
      <c r="A5" s="22" t="inlineStr">
        <is>
          <t>01/03/2026</t>
        </is>
      </c>
      <c r="B5" s="22" t="inlineStr">
        <is>
          <t>Ingreso</t>
        </is>
      </c>
      <c r="C5" s="22" t="inlineStr">
        <is>
          <t>Freelance</t>
        </is>
      </c>
      <c r="D5" s="22" t="inlineStr">
        <is>
          <t>Proyecto diseño web</t>
        </is>
      </c>
      <c r="E5" s="36" t="inlineStr">
        <is>
          <t>USD</t>
        </is>
      </c>
      <c r="F5" s="23" t="n">
        <v>350</v>
      </c>
      <c r="G5" s="37" t="n">
        <v>3.75</v>
      </c>
      <c r="H5" s="23" t="n">
        <v>1312.5</v>
      </c>
      <c r="I5" s="24" t="n">
        <v>350</v>
      </c>
      <c r="J5" s="3" t="inlineStr">
        <is>
          <t>✅ Ingreso</t>
        </is>
      </c>
    </row>
    <row r="6" ht="18" customHeight="1">
      <c r="A6" s="18" t="inlineStr">
        <is>
          <t>02/03/2026</t>
        </is>
      </c>
      <c r="B6" s="18" t="inlineStr">
        <is>
          <t>Gasto</t>
        </is>
      </c>
      <c r="C6" s="18" t="inlineStr">
        <is>
          <t>Alimentación</t>
        </is>
      </c>
      <c r="D6" s="18" t="inlineStr">
        <is>
          <t>Supermercado Wong</t>
        </is>
      </c>
      <c r="E6" s="34" t="inlineStr">
        <is>
          <t>PEN</t>
        </is>
      </c>
      <c r="F6" s="19" t="n">
        <v>280</v>
      </c>
      <c r="G6" s="35" t="n">
        <v>3.75</v>
      </c>
      <c r="H6" s="19" t="n">
        <v>280</v>
      </c>
      <c r="I6" s="20" t="n">
        <v>74.66666666666667</v>
      </c>
      <c r="J6" s="4" t="inlineStr">
        <is>
          <t>💸 Gasto</t>
        </is>
      </c>
    </row>
    <row r="7" ht="18" customHeight="1">
      <c r="A7" s="22" t="inlineStr">
        <is>
          <t>03/03/2026</t>
        </is>
      </c>
      <c r="B7" s="22" t="inlineStr">
        <is>
          <t>Gasto</t>
        </is>
      </c>
      <c r="C7" s="22" t="inlineStr">
        <is>
          <t>Transporte</t>
        </is>
      </c>
      <c r="D7" s="22" t="inlineStr">
        <is>
          <t>Gasolina Primax</t>
        </is>
      </c>
      <c r="E7" s="36" t="inlineStr">
        <is>
          <t>PEN</t>
        </is>
      </c>
      <c r="F7" s="23" t="n">
        <v>90</v>
      </c>
      <c r="G7" s="37" t="n">
        <v>3.75</v>
      </c>
      <c r="H7" s="23" t="n">
        <v>90</v>
      </c>
      <c r="I7" s="24" t="n">
        <v>24</v>
      </c>
      <c r="J7" s="4" t="inlineStr">
        <is>
          <t>💸 Gasto</t>
        </is>
      </c>
    </row>
    <row r="8" ht="18" customHeight="1">
      <c r="A8" s="18" t="inlineStr">
        <is>
          <t>04/03/2026</t>
        </is>
      </c>
      <c r="B8" s="18" t="inlineStr">
        <is>
          <t>Gasto</t>
        </is>
      </c>
      <c r="C8" s="18" t="inlineStr">
        <is>
          <t>Servicios</t>
        </is>
      </c>
      <c r="D8" s="18" t="inlineStr">
        <is>
          <t>Recibo Luz Enel</t>
        </is>
      </c>
      <c r="E8" s="34" t="inlineStr">
        <is>
          <t>PEN</t>
        </is>
      </c>
      <c r="F8" s="19" t="n">
        <v>65</v>
      </c>
      <c r="G8" s="35" t="n">
        <v>3.75</v>
      </c>
      <c r="H8" s="19" t="n">
        <v>65</v>
      </c>
      <c r="I8" s="20" t="n">
        <v>17.33333333333333</v>
      </c>
      <c r="J8" s="4" t="inlineStr">
        <is>
          <t>💸 Gasto</t>
        </is>
      </c>
    </row>
    <row r="9" ht="18" customHeight="1">
      <c r="A9" s="22" t="inlineStr">
        <is>
          <t>04/03/2026</t>
        </is>
      </c>
      <c r="B9" s="22" t="inlineStr">
        <is>
          <t>Gasto</t>
        </is>
      </c>
      <c r="C9" s="22" t="inlineStr">
        <is>
          <t>Servicios</t>
        </is>
      </c>
      <c r="D9" s="22" t="inlineStr">
        <is>
          <t>Recibo Agua Sedapal</t>
        </is>
      </c>
      <c r="E9" s="36" t="inlineStr">
        <is>
          <t>PEN</t>
        </is>
      </c>
      <c r="F9" s="23" t="n">
        <v>35</v>
      </c>
      <c r="G9" s="37" t="n">
        <v>3.75</v>
      </c>
      <c r="H9" s="23" t="n">
        <v>35</v>
      </c>
      <c r="I9" s="24" t="n">
        <v>9.333333333333334</v>
      </c>
      <c r="J9" s="4" t="inlineStr">
        <is>
          <t>💸 Gasto</t>
        </is>
      </c>
    </row>
    <row r="10" ht="18" customHeight="1">
      <c r="A10" s="18" t="inlineStr">
        <is>
          <t>05/03/2026</t>
        </is>
      </c>
      <c r="B10" s="18" t="inlineStr">
        <is>
          <t>Gasto</t>
        </is>
      </c>
      <c r="C10" s="18" t="inlineStr">
        <is>
          <t>Entretenimiento</t>
        </is>
      </c>
      <c r="D10" s="18" t="inlineStr">
        <is>
          <t>Netflix + Spotify</t>
        </is>
      </c>
      <c r="E10" s="34" t="inlineStr">
        <is>
          <t>USD</t>
        </is>
      </c>
      <c r="F10" s="19" t="n">
        <v>22</v>
      </c>
      <c r="G10" s="35" t="n">
        <v>3.75</v>
      </c>
      <c r="H10" s="19" t="n">
        <v>82.5</v>
      </c>
      <c r="I10" s="20" t="n">
        <v>22</v>
      </c>
      <c r="J10" s="4" t="inlineStr">
        <is>
          <t>💸 Gasto</t>
        </is>
      </c>
    </row>
    <row r="11" ht="18" customHeight="1">
      <c r="A11" s="22" t="inlineStr">
        <is>
          <t>06/03/2026</t>
        </is>
      </c>
      <c r="B11" s="22" t="inlineStr">
        <is>
          <t>Gasto</t>
        </is>
      </c>
      <c r="C11" s="22" t="inlineStr">
        <is>
          <t>Alimentación</t>
        </is>
      </c>
      <c r="D11" s="22" t="inlineStr">
        <is>
          <t>Restaurante La Mar</t>
        </is>
      </c>
      <c r="E11" s="36" t="inlineStr">
        <is>
          <t>PEN</t>
        </is>
      </c>
      <c r="F11" s="23" t="n">
        <v>120</v>
      </c>
      <c r="G11" s="37" t="n">
        <v>3.75</v>
      </c>
      <c r="H11" s="23" t="n">
        <v>120</v>
      </c>
      <c r="I11" s="24" t="n">
        <v>32</v>
      </c>
      <c r="J11" s="4" t="inlineStr">
        <is>
          <t>💸 Gasto</t>
        </is>
      </c>
    </row>
    <row r="12" ht="18" customHeight="1">
      <c r="A12" s="18" t="inlineStr">
        <is>
          <t>07/03/2026</t>
        </is>
      </c>
      <c r="B12" s="18" t="inlineStr">
        <is>
          <t>Ahorro</t>
        </is>
      </c>
      <c r="C12" s="18" t="inlineStr">
        <is>
          <t>Ahorro</t>
        </is>
      </c>
      <c r="D12" s="18" t="inlineStr">
        <is>
          <t>Depósito cuenta ahorro BCP</t>
        </is>
      </c>
      <c r="E12" s="34" t="inlineStr">
        <is>
          <t>PEN</t>
        </is>
      </c>
      <c r="F12" s="19" t="n">
        <v>500</v>
      </c>
      <c r="G12" s="35" t="n">
        <v>3.75</v>
      </c>
      <c r="H12" s="19" t="n">
        <v>500</v>
      </c>
      <c r="I12" s="20" t="n">
        <v>133.3333333333333</v>
      </c>
      <c r="J12" s="5" t="inlineStr">
        <is>
          <t>💰 Ahorro</t>
        </is>
      </c>
    </row>
    <row r="13" ht="18" customHeight="1">
      <c r="A13" s="22" t="inlineStr">
        <is>
          <t>08/03/2026</t>
        </is>
      </c>
      <c r="B13" s="22" t="inlineStr">
        <is>
          <t>Gasto</t>
        </is>
      </c>
      <c r="C13" s="22" t="inlineStr">
        <is>
          <t>Salud</t>
        </is>
      </c>
      <c r="D13" s="22" t="inlineStr">
        <is>
          <t>Consulta médica</t>
        </is>
      </c>
      <c r="E13" s="36" t="inlineStr">
        <is>
          <t>PEN</t>
        </is>
      </c>
      <c r="F13" s="23" t="n">
        <v>80</v>
      </c>
      <c r="G13" s="37" t="n">
        <v>3.75</v>
      </c>
      <c r="H13" s="23" t="n">
        <v>80</v>
      </c>
      <c r="I13" s="24" t="n">
        <v>21.33333333333333</v>
      </c>
      <c r="J13" s="4" t="inlineStr">
        <is>
          <t>💸 Gasto</t>
        </is>
      </c>
    </row>
    <row r="14" ht="18" customHeight="1">
      <c r="A14" s="18" t="inlineStr">
        <is>
          <t>09/03/2026</t>
        </is>
      </c>
      <c r="B14" s="18" t="inlineStr">
        <is>
          <t>Gasto</t>
        </is>
      </c>
      <c r="C14" s="18" t="inlineStr">
        <is>
          <t>Ropa</t>
        </is>
      </c>
      <c r="D14" s="18" t="inlineStr">
        <is>
          <t>Zapatillas Adidas</t>
        </is>
      </c>
      <c r="E14" s="34" t="inlineStr">
        <is>
          <t>USD</t>
        </is>
      </c>
      <c r="F14" s="19" t="n">
        <v>75</v>
      </c>
      <c r="G14" s="35" t="n">
        <v>3.75</v>
      </c>
      <c r="H14" s="19" t="n">
        <v>281.25</v>
      </c>
      <c r="I14" s="20" t="n">
        <v>75</v>
      </c>
      <c r="J14" s="4" t="inlineStr">
        <is>
          <t>💸 Gasto</t>
        </is>
      </c>
    </row>
    <row r="15" ht="18" customHeight="1">
      <c r="A15" s="22" t="inlineStr">
        <is>
          <t>10/03/2026</t>
        </is>
      </c>
      <c r="B15" s="22" t="inlineStr">
        <is>
          <t>Gasto</t>
        </is>
      </c>
      <c r="C15" s="22" t="inlineStr">
        <is>
          <t>Educación</t>
        </is>
      </c>
      <c r="D15" s="22" t="inlineStr">
        <is>
          <t>Curso Udemy</t>
        </is>
      </c>
      <c r="E15" s="36" t="inlineStr">
        <is>
          <t>USD</t>
        </is>
      </c>
      <c r="F15" s="23" t="n">
        <v>15</v>
      </c>
      <c r="G15" s="37" t="n">
        <v>3.75</v>
      </c>
      <c r="H15" s="23" t="n">
        <v>56.25</v>
      </c>
      <c r="I15" s="24" t="n">
        <v>15</v>
      </c>
      <c r="J15" s="4" t="inlineStr">
        <is>
          <t>💸 Gasto</t>
        </is>
      </c>
    </row>
    <row r="16" ht="18" customHeight="1">
      <c r="A16" s="18" t="inlineStr">
        <is>
          <t>11/03/2026</t>
        </is>
      </c>
      <c r="B16" s="18" t="inlineStr">
        <is>
          <t>Gasto</t>
        </is>
      </c>
      <c r="C16" s="18" t="inlineStr">
        <is>
          <t>Alimentación</t>
        </is>
      </c>
      <c r="D16" s="18" t="inlineStr">
        <is>
          <t>Bodega + mercado</t>
        </is>
      </c>
      <c r="E16" s="34" t="inlineStr">
        <is>
          <t>PEN</t>
        </is>
      </c>
      <c r="F16" s="19" t="n">
        <v>95</v>
      </c>
      <c r="G16" s="35" t="n">
        <v>3.75</v>
      </c>
      <c r="H16" s="19" t="n">
        <v>95</v>
      </c>
      <c r="I16" s="20" t="n">
        <v>25.33333333333333</v>
      </c>
      <c r="J16" s="4" t="inlineStr">
        <is>
          <t>💸 Gasto</t>
        </is>
      </c>
    </row>
    <row r="17" ht="18" customHeight="1">
      <c r="A17" s="22" t="inlineStr">
        <is>
          <t>12/03/2026</t>
        </is>
      </c>
      <c r="B17" s="22" t="inlineStr">
        <is>
          <t>Gasto</t>
        </is>
      </c>
      <c r="C17" s="22" t="inlineStr">
        <is>
          <t>Transporte</t>
        </is>
      </c>
      <c r="D17" s="22" t="inlineStr">
        <is>
          <t>Uber semanal</t>
        </is>
      </c>
      <c r="E17" s="36" t="inlineStr">
        <is>
          <t>PEN</t>
        </is>
      </c>
      <c r="F17" s="23" t="n">
        <v>55</v>
      </c>
      <c r="G17" s="37" t="n">
        <v>3.75</v>
      </c>
      <c r="H17" s="23" t="n">
        <v>55</v>
      </c>
      <c r="I17" s="24" t="n">
        <v>14.66666666666667</v>
      </c>
      <c r="J17" s="4" t="inlineStr">
        <is>
          <t>💸 Gasto</t>
        </is>
      </c>
    </row>
    <row r="18" ht="18" customHeight="1">
      <c r="A18" s="18" t="inlineStr">
        <is>
          <t>13/03/2026</t>
        </is>
      </c>
      <c r="B18" s="18" t="inlineStr">
        <is>
          <t>Ingreso</t>
        </is>
      </c>
      <c r="C18" s="18" t="inlineStr">
        <is>
          <t>Alquiler</t>
        </is>
      </c>
      <c r="D18" s="18" t="inlineStr">
        <is>
          <t>Cuarto alquilado</t>
        </is>
      </c>
      <c r="E18" s="34" t="inlineStr">
        <is>
          <t>PEN</t>
        </is>
      </c>
      <c r="F18" s="19" t="n">
        <v>600</v>
      </c>
      <c r="G18" s="35" t="n">
        <v>3.75</v>
      </c>
      <c r="H18" s="19" t="n">
        <v>600</v>
      </c>
      <c r="I18" s="20" t="n">
        <v>160</v>
      </c>
      <c r="J18" s="3" t="inlineStr">
        <is>
          <t>✅ Ingreso</t>
        </is>
      </c>
    </row>
    <row r="19" ht="18" customHeight="1">
      <c r="A19" s="22" t="inlineStr">
        <is>
          <t>14/03/2026</t>
        </is>
      </c>
      <c r="B19" s="22" t="inlineStr">
        <is>
          <t>Gasto</t>
        </is>
      </c>
      <c r="C19" s="22" t="inlineStr">
        <is>
          <t>Hogar</t>
        </is>
      </c>
      <c r="D19" s="22" t="inlineStr">
        <is>
          <t>Gas doméstico</t>
        </is>
      </c>
      <c r="E19" s="36" t="inlineStr">
        <is>
          <t>PEN</t>
        </is>
      </c>
      <c r="F19" s="23" t="n">
        <v>42</v>
      </c>
      <c r="G19" s="37" t="n">
        <v>3.75</v>
      </c>
      <c r="H19" s="23" t="n">
        <v>42</v>
      </c>
      <c r="I19" s="24" t="n">
        <v>11.2</v>
      </c>
      <c r="J19" s="4" t="inlineStr">
        <is>
          <t>💸 Gasto</t>
        </is>
      </c>
    </row>
    <row r="20" ht="18" customHeight="1">
      <c r="A20" s="18" t="inlineStr">
        <is>
          <t>15/03/2026</t>
        </is>
      </c>
      <c r="B20" s="18" t="inlineStr">
        <is>
          <t>Gasto</t>
        </is>
      </c>
      <c r="C20" s="18" t="inlineStr">
        <is>
          <t>Salud</t>
        </is>
      </c>
      <c r="D20" s="18" t="inlineStr">
        <is>
          <t>Farmacia</t>
        </is>
      </c>
      <c r="E20" s="34" t="inlineStr">
        <is>
          <t>PEN</t>
        </is>
      </c>
      <c r="F20" s="19" t="n">
        <v>38</v>
      </c>
      <c r="G20" s="35" t="n">
        <v>3.75</v>
      </c>
      <c r="H20" s="19" t="n">
        <v>38</v>
      </c>
      <c r="I20" s="20" t="n">
        <v>10.13333333333333</v>
      </c>
      <c r="J20" s="4" t="inlineStr">
        <is>
          <t>💸 Gasto</t>
        </is>
      </c>
    </row>
    <row r="21" ht="18" customHeight="1">
      <c r="A21" s="22" t="inlineStr">
        <is>
          <t>16/03/2026</t>
        </is>
      </c>
      <c r="B21" s="22" t="inlineStr">
        <is>
          <t>Gasto</t>
        </is>
      </c>
      <c r="C21" s="22" t="inlineStr">
        <is>
          <t>Alimentación</t>
        </is>
      </c>
      <c r="D21" s="22" t="inlineStr">
        <is>
          <t>Domicilio Rappi</t>
        </is>
      </c>
      <c r="E21" s="36" t="inlineStr">
        <is>
          <t>PEN</t>
        </is>
      </c>
      <c r="F21" s="23" t="n">
        <v>55</v>
      </c>
      <c r="G21" s="37" t="n">
        <v>3.75</v>
      </c>
      <c r="H21" s="23" t="n">
        <v>55</v>
      </c>
      <c r="I21" s="24" t="n">
        <v>14.66666666666667</v>
      </c>
      <c r="J21" s="4" t="inlineStr">
        <is>
          <t>💸 Gasto</t>
        </is>
      </c>
    </row>
    <row r="22" ht="18" customHeight="1">
      <c r="A22" s="18" t="inlineStr">
        <is>
          <t>17/03/2026</t>
        </is>
      </c>
      <c r="B22" s="18" t="inlineStr">
        <is>
          <t>Gasto</t>
        </is>
      </c>
      <c r="C22" s="18" t="inlineStr">
        <is>
          <t>Entretenimiento</t>
        </is>
      </c>
      <c r="D22" s="18" t="inlineStr">
        <is>
          <t>Cine UVK</t>
        </is>
      </c>
      <c r="E22" s="34" t="inlineStr">
        <is>
          <t>PEN</t>
        </is>
      </c>
      <c r="F22" s="19" t="n">
        <v>48</v>
      </c>
      <c r="G22" s="35" t="n">
        <v>3.75</v>
      </c>
      <c r="H22" s="19" t="n">
        <v>48</v>
      </c>
      <c r="I22" s="20" t="n">
        <v>12.8</v>
      </c>
      <c r="J22" s="4" t="inlineStr">
        <is>
          <t>💸 Gasto</t>
        </is>
      </c>
    </row>
    <row r="23" ht="18" customHeight="1">
      <c r="A23" s="22" t="inlineStr">
        <is>
          <t>18/03/2026</t>
        </is>
      </c>
      <c r="B23" s="22" t="inlineStr">
        <is>
          <t>Gasto</t>
        </is>
      </c>
      <c r="C23" s="22" t="inlineStr">
        <is>
          <t>Educación</t>
        </is>
      </c>
      <c r="D23" s="22" t="inlineStr">
        <is>
          <t>Libros universitarios</t>
        </is>
      </c>
      <c r="E23" s="36" t="inlineStr">
        <is>
          <t>PEN</t>
        </is>
      </c>
      <c r="F23" s="23" t="n">
        <v>75</v>
      </c>
      <c r="G23" s="37" t="n">
        <v>3.75</v>
      </c>
      <c r="H23" s="23" t="n">
        <v>75</v>
      </c>
      <c r="I23" s="24" t="n">
        <v>20</v>
      </c>
      <c r="J23" s="4" t="inlineStr">
        <is>
          <t>💸 Gasto</t>
        </is>
      </c>
    </row>
    <row r="24" ht="18" customHeight="1">
      <c r="A24" s="18" t="inlineStr">
        <is>
          <t>19/03/2026</t>
        </is>
      </c>
      <c r="B24" s="18" t="inlineStr">
        <is>
          <t>Ahorro</t>
        </is>
      </c>
      <c r="C24" s="18" t="inlineStr">
        <is>
          <t>Inversión</t>
        </is>
      </c>
      <c r="D24" s="18" t="inlineStr">
        <is>
          <t>FONDO SURA (renta fija)</t>
        </is>
      </c>
      <c r="E24" s="34" t="inlineStr">
        <is>
          <t>USD</t>
        </is>
      </c>
      <c r="F24" s="19" t="n">
        <v>100</v>
      </c>
      <c r="G24" s="35" t="n">
        <v>3.75</v>
      </c>
      <c r="H24" s="19" t="n">
        <v>375</v>
      </c>
      <c r="I24" s="20" t="n">
        <v>100</v>
      </c>
      <c r="J24" s="5" t="inlineStr">
        <is>
          <t>💰 Ahorro</t>
        </is>
      </c>
    </row>
    <row r="25" ht="18" customHeight="1">
      <c r="A25" s="22" t="inlineStr">
        <is>
          <t>20/03/2026</t>
        </is>
      </c>
      <c r="B25" s="22" t="inlineStr">
        <is>
          <t>Gasto</t>
        </is>
      </c>
      <c r="C25" s="22" t="inlineStr">
        <is>
          <t>Servicios</t>
        </is>
      </c>
      <c r="D25" s="22" t="inlineStr">
        <is>
          <t>Internet Claro</t>
        </is>
      </c>
      <c r="E25" s="36" t="inlineStr">
        <is>
          <t>PEN</t>
        </is>
      </c>
      <c r="F25" s="23" t="n">
        <v>89</v>
      </c>
      <c r="G25" s="37" t="n">
        <v>3.75</v>
      </c>
      <c r="H25" s="23" t="n">
        <v>89</v>
      </c>
      <c r="I25" s="24" t="n">
        <v>23.73333333333333</v>
      </c>
      <c r="J25" s="4" t="inlineStr">
        <is>
          <t>💸 Gasto</t>
        </is>
      </c>
    </row>
    <row r="26" ht="18" customHeight="1">
      <c r="A26" s="18" t="inlineStr">
        <is>
          <t>21/03/2026</t>
        </is>
      </c>
      <c r="B26" s="18" t="inlineStr">
        <is>
          <t>Gasto</t>
        </is>
      </c>
      <c r="C26" s="18" t="inlineStr">
        <is>
          <t>Alimentación</t>
        </is>
      </c>
      <c r="D26" s="18" t="inlineStr">
        <is>
          <t>Supermercado Plaza Vea</t>
        </is>
      </c>
      <c r="E26" s="34" t="inlineStr">
        <is>
          <t>PEN</t>
        </is>
      </c>
      <c r="F26" s="19" t="n">
        <v>195</v>
      </c>
      <c r="G26" s="35" t="n">
        <v>3.75</v>
      </c>
      <c r="H26" s="19" t="n">
        <v>195</v>
      </c>
      <c r="I26" s="20" t="n">
        <v>52</v>
      </c>
      <c r="J26" s="4" t="inlineStr">
        <is>
          <t>💸 Gasto</t>
        </is>
      </c>
    </row>
    <row r="27" ht="18" customHeight="1">
      <c r="A27" s="22" t="inlineStr">
        <is>
          <t>22/03/2026</t>
        </is>
      </c>
      <c r="B27" s="22" t="inlineStr">
        <is>
          <t>Gasto</t>
        </is>
      </c>
      <c r="C27" s="22" t="inlineStr">
        <is>
          <t>Transporte</t>
        </is>
      </c>
      <c r="D27" s="22" t="inlineStr">
        <is>
          <t>Peaje autopista</t>
        </is>
      </c>
      <c r="E27" s="36" t="inlineStr">
        <is>
          <t>PEN</t>
        </is>
      </c>
      <c r="F27" s="23" t="n">
        <v>20</v>
      </c>
      <c r="G27" s="37" t="n">
        <v>3.75</v>
      </c>
      <c r="H27" s="23" t="n">
        <v>20</v>
      </c>
      <c r="I27" s="24" t="n">
        <v>5.333333333333333</v>
      </c>
      <c r="J27" s="4" t="inlineStr">
        <is>
          <t>💸 Gasto</t>
        </is>
      </c>
    </row>
    <row r="28" ht="18" customHeight="1">
      <c r="A28" s="18" t="inlineStr">
        <is>
          <t>23/03/2026</t>
        </is>
      </c>
      <c r="B28" s="18" t="inlineStr">
        <is>
          <t>Gasto</t>
        </is>
      </c>
      <c r="C28" s="18" t="inlineStr">
        <is>
          <t>Ropa</t>
        </is>
      </c>
      <c r="D28" s="18" t="inlineStr">
        <is>
          <t>Camisa polo</t>
        </is>
      </c>
      <c r="E28" s="34" t="inlineStr">
        <is>
          <t>PEN</t>
        </is>
      </c>
      <c r="F28" s="19" t="n">
        <v>65</v>
      </c>
      <c r="G28" s="35" t="n">
        <v>3.75</v>
      </c>
      <c r="H28" s="19" t="n">
        <v>65</v>
      </c>
      <c r="I28" s="20" t="n">
        <v>17.33333333333333</v>
      </c>
      <c r="J28" s="4" t="inlineStr">
        <is>
          <t>💸 Gasto</t>
        </is>
      </c>
    </row>
    <row r="29" ht="18" customHeight="1">
      <c r="A29" s="22" t="inlineStr">
        <is>
          <t>24/03/2026</t>
        </is>
      </c>
      <c r="B29" s="22" t="inlineStr">
        <is>
          <t>Gasto</t>
        </is>
      </c>
      <c r="C29" s="22" t="inlineStr">
        <is>
          <t>Hogar</t>
        </is>
      </c>
      <c r="D29" s="22" t="inlineStr">
        <is>
          <t>Artículos limpieza</t>
        </is>
      </c>
      <c r="E29" s="36" t="inlineStr">
        <is>
          <t>PEN</t>
        </is>
      </c>
      <c r="F29" s="23" t="n">
        <v>45</v>
      </c>
      <c r="G29" s="37" t="n">
        <v>3.75</v>
      </c>
      <c r="H29" s="23" t="n">
        <v>45</v>
      </c>
      <c r="I29" s="24" t="n">
        <v>12</v>
      </c>
      <c r="J29" s="4" t="inlineStr">
        <is>
          <t>💸 Gasto</t>
        </is>
      </c>
    </row>
    <row r="30" ht="18" customHeight="1">
      <c r="A30" s="18" t="inlineStr">
        <is>
          <t>25/03/2026</t>
        </is>
      </c>
      <c r="B30" s="18" t="inlineStr">
        <is>
          <t>Gasto</t>
        </is>
      </c>
      <c r="C30" s="18" t="inlineStr">
        <is>
          <t>Salud</t>
        </is>
      </c>
      <c r="D30" s="18" t="inlineStr">
        <is>
          <t>Gimnasio Smart Fit</t>
        </is>
      </c>
      <c r="E30" s="34" t="inlineStr">
        <is>
          <t>PEN</t>
        </is>
      </c>
      <c r="F30" s="19" t="n">
        <v>100</v>
      </c>
      <c r="G30" s="35" t="n">
        <v>3.75</v>
      </c>
      <c r="H30" s="19" t="n">
        <v>100</v>
      </c>
      <c r="I30" s="20" t="n">
        <v>26.66666666666667</v>
      </c>
      <c r="J30" s="4" t="inlineStr">
        <is>
          <t>💸 Gasto</t>
        </is>
      </c>
    </row>
    <row r="31" ht="18" customHeight="1">
      <c r="A31" s="22" t="inlineStr">
        <is>
          <t>26/03/2026</t>
        </is>
      </c>
      <c r="B31" s="22" t="inlineStr">
        <is>
          <t>Gasto</t>
        </is>
      </c>
      <c r="C31" s="22" t="inlineStr">
        <is>
          <t>Entretenimiento</t>
        </is>
      </c>
      <c r="D31" s="22" t="inlineStr">
        <is>
          <t>Concierto tributo</t>
        </is>
      </c>
      <c r="E31" s="36" t="inlineStr">
        <is>
          <t>PEN</t>
        </is>
      </c>
      <c r="F31" s="23" t="n">
        <v>80</v>
      </c>
      <c r="G31" s="37" t="n">
        <v>3.75</v>
      </c>
      <c r="H31" s="23" t="n">
        <v>80</v>
      </c>
      <c r="I31" s="24" t="n">
        <v>21.33333333333333</v>
      </c>
      <c r="J31" s="4" t="inlineStr">
        <is>
          <t>💸 Gasto</t>
        </is>
      </c>
    </row>
    <row r="32" ht="18" customHeight="1">
      <c r="A32" s="18" t="inlineStr">
        <is>
          <t>27/03/2026</t>
        </is>
      </c>
      <c r="B32" s="18" t="inlineStr">
        <is>
          <t>Gasto</t>
        </is>
      </c>
      <c r="C32" s="18" t="inlineStr">
        <is>
          <t>Alimentación</t>
        </is>
      </c>
      <c r="D32" s="18" t="inlineStr">
        <is>
          <t>Cafetería trabajo</t>
        </is>
      </c>
      <c r="E32" s="34" t="inlineStr">
        <is>
          <t>PEN</t>
        </is>
      </c>
      <c r="F32" s="19" t="n">
        <v>70</v>
      </c>
      <c r="G32" s="35" t="n">
        <v>3.75</v>
      </c>
      <c r="H32" s="19" t="n">
        <v>70</v>
      </c>
      <c r="I32" s="20" t="n">
        <v>18.66666666666667</v>
      </c>
      <c r="J32" s="4" t="inlineStr">
        <is>
          <t>💸 Gasto</t>
        </is>
      </c>
    </row>
    <row r="33" ht="18" customHeight="1">
      <c r="A33" s="22" t="inlineStr">
        <is>
          <t>28/03/2026</t>
        </is>
      </c>
      <c r="B33" s="22" t="inlineStr">
        <is>
          <t>Ingreso</t>
        </is>
      </c>
      <c r="C33" s="22" t="inlineStr">
        <is>
          <t>Freelance</t>
        </is>
      </c>
      <c r="D33" s="22" t="inlineStr">
        <is>
          <t>Diseño logo cliente</t>
        </is>
      </c>
      <c r="E33" s="36" t="inlineStr">
        <is>
          <t>USD</t>
        </is>
      </c>
      <c r="F33" s="23" t="n">
        <v>120</v>
      </c>
      <c r="G33" s="37" t="n">
        <v>3.75</v>
      </c>
      <c r="H33" s="23" t="n">
        <v>450</v>
      </c>
      <c r="I33" s="24" t="n">
        <v>120</v>
      </c>
      <c r="J33" s="3" t="inlineStr">
        <is>
          <t>✅ Ingreso</t>
        </is>
      </c>
    </row>
    <row r="34" ht="22" customHeight="1">
      <c r="A34" s="38" t="inlineStr">
        <is>
          <t>TOTALES</t>
        </is>
      </c>
      <c r="F34" s="39">
        <f>SUM(F4:F33)</f>
        <v/>
      </c>
      <c r="G34" s="40" t="n"/>
      <c r="H34" s="39">
        <f>SUM(H4:H33)</f>
        <v/>
      </c>
      <c r="I34" s="41">
        <f>SUM(I4:I33)</f>
        <v/>
      </c>
    </row>
  </sheetData>
  <mergeCells count="2">
    <mergeCell ref="A1:J1"/>
    <mergeCell ref="A34:E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  <col width="18" customWidth="1" min="7" max="7"/>
  </cols>
  <sheetData>
    <row r="1" ht="36" customHeight="1">
      <c r="A1" s="26" t="inlineStr">
        <is>
          <t>📊  PRESUPUESTO VS REAL  |  MARZO 2026</t>
        </is>
      </c>
    </row>
    <row r="3" ht="26" customHeight="1">
      <c r="A3" s="33" t="inlineStr">
        <is>
          <t>Categoría</t>
        </is>
      </c>
      <c r="B3" s="33" t="inlineStr">
        <is>
          <t>Presup. (S/.)</t>
        </is>
      </c>
      <c r="C3" s="33" t="inlineStr">
        <is>
          <t>Presup. (USD)</t>
        </is>
      </c>
      <c r="D3" s="33" t="inlineStr">
        <is>
          <t>Real (S/.)</t>
        </is>
      </c>
      <c r="E3" s="33" t="inlineStr">
        <is>
          <t>Real (USD)</t>
        </is>
      </c>
      <c r="F3" s="33" t="inlineStr">
        <is>
          <t>% Usado</t>
        </is>
      </c>
      <c r="G3" s="33" t="inlineStr">
        <is>
          <t>Estado</t>
        </is>
      </c>
    </row>
    <row r="4" ht="18" customHeight="1">
      <c r="A4" s="18" t="inlineStr">
        <is>
          <t>Alimentación</t>
        </is>
      </c>
      <c r="B4" s="19" t="n">
        <v>918.75</v>
      </c>
      <c r="C4" s="20" t="n">
        <v>245</v>
      </c>
      <c r="D4" s="19" t="n">
        <v>815</v>
      </c>
      <c r="E4" s="20" t="n">
        <v>217.3333333333333</v>
      </c>
      <c r="F4" s="42" t="n">
        <v>0.8870748299319728</v>
      </c>
      <c r="G4" s="5" t="inlineStr">
        <is>
          <t>🔶 En límite</t>
        </is>
      </c>
    </row>
    <row r="5" ht="18" customHeight="1">
      <c r="A5" s="22" t="inlineStr">
        <is>
          <t>Transporte</t>
        </is>
      </c>
      <c r="B5" s="23" t="n">
        <v>250</v>
      </c>
      <c r="C5" s="24" t="n">
        <v>66.66666666666667</v>
      </c>
      <c r="D5" s="23" t="n">
        <v>165</v>
      </c>
      <c r="E5" s="24" t="n">
        <v>44</v>
      </c>
      <c r="F5" s="43" t="n">
        <v>0.66</v>
      </c>
      <c r="G5" s="3" t="inlineStr">
        <is>
          <t>✅ OK</t>
        </is>
      </c>
    </row>
    <row r="6" ht="18" customHeight="1">
      <c r="A6" s="18" t="inlineStr">
        <is>
          <t>Servicios</t>
        </is>
      </c>
      <c r="B6" s="19" t="n">
        <v>200</v>
      </c>
      <c r="C6" s="20" t="n">
        <v>53.33333333333334</v>
      </c>
      <c r="D6" s="19" t="n">
        <v>189</v>
      </c>
      <c r="E6" s="20" t="n">
        <v>50.4</v>
      </c>
      <c r="F6" s="42" t="n">
        <v>0.945</v>
      </c>
      <c r="G6" s="5" t="inlineStr">
        <is>
          <t>🔶 En límite</t>
        </is>
      </c>
    </row>
    <row r="7" ht="18" customHeight="1">
      <c r="A7" s="22" t="inlineStr">
        <is>
          <t>Entretenimiento</t>
        </is>
      </c>
      <c r="B7" s="23" t="n">
        <v>262.5</v>
      </c>
      <c r="C7" s="24" t="n">
        <v>70</v>
      </c>
      <c r="D7" s="23" t="n">
        <v>210.5</v>
      </c>
      <c r="E7" s="24" t="n">
        <v>56.13333333333333</v>
      </c>
      <c r="F7" s="43" t="n">
        <v>0.8019047619047619</v>
      </c>
      <c r="G7" s="3" t="inlineStr">
        <is>
          <t>✅ OK</t>
        </is>
      </c>
    </row>
    <row r="8" ht="18" customHeight="1">
      <c r="A8" s="18" t="inlineStr">
        <is>
          <t>Salud</t>
        </is>
      </c>
      <c r="B8" s="19" t="n">
        <v>200</v>
      </c>
      <c r="C8" s="20" t="n">
        <v>53.33333333333334</v>
      </c>
      <c r="D8" s="19" t="n">
        <v>218</v>
      </c>
      <c r="E8" s="20" t="n">
        <v>58.13333333333333</v>
      </c>
      <c r="F8" s="42" t="n">
        <v>1.09</v>
      </c>
      <c r="G8" s="4" t="inlineStr">
        <is>
          <t>⚠ Excedido</t>
        </is>
      </c>
    </row>
    <row r="9" ht="18" customHeight="1">
      <c r="A9" s="22" t="inlineStr">
        <is>
          <t>Ropa</t>
        </is>
      </c>
      <c r="B9" s="23" t="n">
        <v>431.25</v>
      </c>
      <c r="C9" s="24" t="n">
        <v>115</v>
      </c>
      <c r="D9" s="23" t="n">
        <v>346.25</v>
      </c>
      <c r="E9" s="24" t="n">
        <v>92.33333333333333</v>
      </c>
      <c r="F9" s="43" t="n">
        <v>0.8028985507246377</v>
      </c>
      <c r="G9" s="3" t="inlineStr">
        <is>
          <t>✅ OK</t>
        </is>
      </c>
    </row>
    <row r="10" ht="18" customHeight="1">
      <c r="A10" s="18" t="inlineStr">
        <is>
          <t>Educación</t>
        </is>
      </c>
      <c r="B10" s="19" t="n">
        <v>136.25</v>
      </c>
      <c r="C10" s="20" t="n">
        <v>36.33333333333334</v>
      </c>
      <c r="D10" s="19" t="n">
        <v>131.25</v>
      </c>
      <c r="E10" s="20" t="n">
        <v>35</v>
      </c>
      <c r="F10" s="42" t="n">
        <v>0.963302752293578</v>
      </c>
      <c r="G10" s="5" t="inlineStr">
        <is>
          <t>🔶 En límite</t>
        </is>
      </c>
    </row>
    <row r="11" ht="18" customHeight="1">
      <c r="A11" s="22" t="inlineStr">
        <is>
          <t>Hogar</t>
        </is>
      </c>
      <c r="B11" s="23" t="n">
        <v>120</v>
      </c>
      <c r="C11" s="24" t="n">
        <v>32</v>
      </c>
      <c r="D11" s="23" t="n">
        <v>87</v>
      </c>
      <c r="E11" s="24" t="n">
        <v>23.2</v>
      </c>
      <c r="F11" s="43" t="n">
        <v>0.725</v>
      </c>
      <c r="G11" s="3" t="inlineStr">
        <is>
          <t>✅ OK</t>
        </is>
      </c>
    </row>
    <row r="12" ht="18" customHeight="1">
      <c r="A12" s="18" t="inlineStr">
        <is>
          <t>Ahorro</t>
        </is>
      </c>
      <c r="B12" s="19" t="n">
        <v>875</v>
      </c>
      <c r="C12" s="20" t="n">
        <v>233.3333333333333</v>
      </c>
      <c r="D12" s="19" t="n">
        <v>875</v>
      </c>
      <c r="E12" s="20" t="n">
        <v>233.3333333333333</v>
      </c>
      <c r="F12" s="42" t="n">
        <v>1</v>
      </c>
      <c r="G12" s="5" t="inlineStr">
        <is>
          <t>🔶 En límite</t>
        </is>
      </c>
    </row>
    <row r="13" ht="22" customHeight="1">
      <c r="A13" s="44" t="inlineStr">
        <is>
          <t>TOTAL</t>
        </is>
      </c>
      <c r="B13" s="39">
        <f>SUM(B4:B12)</f>
        <v/>
      </c>
      <c r="C13" s="41">
        <f>SUM(C4:C12)</f>
        <v/>
      </c>
      <c r="D13" s="39">
        <f>SUM(D4:D12)</f>
        <v/>
      </c>
      <c r="E13" s="41">
        <f>SUM(E4:E12)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14" customWidth="1" min="5" max="5"/>
    <col width="12" customWidth="1" min="6" max="6"/>
    <col width="18" customWidth="1" min="7" max="7"/>
  </cols>
  <sheetData>
    <row r="1" ht="36" customHeight="1">
      <c r="A1" s="26" t="inlineStr">
        <is>
          <t>💰  AHORRO E INVERSIONES  |  BIMONEDA</t>
        </is>
      </c>
    </row>
    <row r="3" ht="24" customHeight="1">
      <c r="A3" s="33" t="inlineStr">
        <is>
          <t>Concepto</t>
        </is>
      </c>
      <c r="B3" s="33" t="inlineStr">
        <is>
          <t>Entidad</t>
        </is>
      </c>
      <c r="C3" s="33" t="inlineStr">
        <is>
          <t>Saldo (S/.)</t>
        </is>
      </c>
      <c r="D3" s="33" t="inlineStr">
        <is>
          <t>Saldo (USD)</t>
        </is>
      </c>
      <c r="E3" s="33" t="inlineStr">
        <is>
          <t>Rentab. %</t>
        </is>
      </c>
      <c r="F3" s="33" t="inlineStr">
        <is>
          <t>Plazo</t>
        </is>
      </c>
      <c r="G3" s="33" t="inlineStr">
        <is>
          <t>Tipo</t>
        </is>
      </c>
    </row>
    <row r="4" ht="18" customHeight="1">
      <c r="A4" s="18" t="inlineStr">
        <is>
          <t>Cuenta ahorro BCP</t>
        </is>
      </c>
      <c r="B4" s="18" t="inlineStr">
        <is>
          <t>BCP</t>
        </is>
      </c>
      <c r="C4" s="19" t="n">
        <v>4500</v>
      </c>
      <c r="D4" s="20" t="n">
        <v>1200</v>
      </c>
      <c r="E4" s="45" t="n">
        <v>0.035</v>
      </c>
      <c r="F4" s="34" t="inlineStr">
        <is>
          <t>Libre</t>
        </is>
      </c>
      <c r="G4" s="34" t="inlineStr">
        <is>
          <t>Ahorro</t>
        </is>
      </c>
    </row>
    <row r="5" ht="18" customHeight="1">
      <c r="A5" s="22" t="inlineStr">
        <is>
          <t>CTS Interbank</t>
        </is>
      </c>
      <c r="B5" s="22" t="inlineStr">
        <is>
          <t>Interbank</t>
        </is>
      </c>
      <c r="C5" s="23" t="n">
        <v>2800</v>
      </c>
      <c r="D5" s="24" t="n">
        <v>746.67</v>
      </c>
      <c r="E5" s="46" t="n">
        <v>0.06</v>
      </c>
      <c r="F5" s="36" t="inlineStr">
        <is>
          <t>Anual</t>
        </is>
      </c>
      <c r="G5" s="36" t="inlineStr">
        <is>
          <t>CTS</t>
        </is>
      </c>
    </row>
    <row r="6" ht="18" customHeight="1">
      <c r="A6" s="18" t="inlineStr">
        <is>
          <t>Fondo SURA RF</t>
        </is>
      </c>
      <c r="B6" s="18" t="inlineStr">
        <is>
          <t>SURA</t>
        </is>
      </c>
      <c r="C6" s="19" t="n">
        <v>875</v>
      </c>
      <c r="D6" s="20" t="n">
        <v>233.33</v>
      </c>
      <c r="E6" s="45" t="n">
        <v>0.082</v>
      </c>
      <c r="F6" s="34" t="inlineStr">
        <is>
          <t>5 años</t>
        </is>
      </c>
      <c r="G6" s="34" t="inlineStr">
        <is>
          <t>Fondo Mutuo</t>
        </is>
      </c>
    </row>
    <row r="7" ht="18" customHeight="1">
      <c r="A7" s="22" t="inlineStr">
        <is>
          <t>AFP Integra</t>
        </is>
      </c>
      <c r="B7" s="22" t="inlineStr">
        <is>
          <t>Integra</t>
        </is>
      </c>
      <c r="C7" s="23" t="n">
        <v>12500</v>
      </c>
      <c r="D7" s="24" t="n">
        <v>3333.33</v>
      </c>
      <c r="E7" s="46" t="n">
        <v>0.095</v>
      </c>
      <c r="F7" s="36" t="inlineStr">
        <is>
          <t>Jubil.</t>
        </is>
      </c>
      <c r="G7" s="36" t="inlineStr">
        <is>
          <t>AFP</t>
        </is>
      </c>
    </row>
    <row r="8" ht="18" customHeight="1">
      <c r="A8" s="18" t="inlineStr">
        <is>
          <t>ETF S&amp;P500</t>
        </is>
      </c>
      <c r="B8" s="18" t="inlineStr">
        <is>
          <t>Fintual</t>
        </is>
      </c>
      <c r="C8" s="19" t="n">
        <v>300</v>
      </c>
      <c r="D8" s="20" t="n">
        <v>80</v>
      </c>
      <c r="E8" s="45" t="n">
        <v>0.12</v>
      </c>
      <c r="F8" s="34" t="inlineStr">
        <is>
          <t>Largo</t>
        </is>
      </c>
      <c r="G8" s="34" t="inlineStr">
        <is>
          <t>Inversión</t>
        </is>
      </c>
    </row>
    <row r="9" ht="18" customHeight="1">
      <c r="A9" s="22" t="inlineStr">
        <is>
          <t>Dólares en casa</t>
        </is>
      </c>
      <c r="B9" s="22" t="inlineStr">
        <is>
          <t>Personal</t>
        </is>
      </c>
      <c r="C9" s="23" t="n">
        <v>50</v>
      </c>
      <c r="D9" s="24" t="n">
        <v>200</v>
      </c>
      <c r="E9" s="46" t="n">
        <v>0</v>
      </c>
      <c r="F9" s="36" t="inlineStr">
        <is>
          <t>—</t>
        </is>
      </c>
      <c r="G9" s="36" t="inlineStr">
        <is>
          <t>Efectivo USD</t>
        </is>
      </c>
    </row>
    <row r="10" ht="24" customHeight="1">
      <c r="A10" s="44" t="inlineStr">
        <is>
          <t>TOTAL PATRIMONIO</t>
        </is>
      </c>
      <c r="B10" s="47" t="n"/>
      <c r="C10" s="48">
        <f>SUM(C4:C9)</f>
        <v/>
      </c>
      <c r="D10" s="49">
        <f>SUM(D4:D9)</f>
        <v/>
      </c>
    </row>
    <row r="12" ht="26" customHeight="1">
      <c r="A12" s="50" t="inlineStr">
        <is>
          <t>🎯  META ANUAL DE AHORRO  —  S/. 12,000  |  USD 3,200</t>
        </is>
      </c>
    </row>
    <row r="14">
      <c r="A14" s="17" t="inlineStr">
        <is>
          <t>Mes</t>
        </is>
      </c>
      <c r="B14" s="17" t="inlineStr">
        <is>
          <t>Meta S/.</t>
        </is>
      </c>
      <c r="C14" s="17" t="inlineStr">
        <is>
          <t>Ahorrado S/.</t>
        </is>
      </c>
      <c r="D14" s="17" t="inlineStr">
        <is>
          <t>Meta USD</t>
        </is>
      </c>
      <c r="E14" s="17" t="inlineStr">
        <is>
          <t>Ahorrado USD</t>
        </is>
      </c>
      <c r="F14" s="17" t="inlineStr">
        <is>
          <t>Cumplido</t>
        </is>
      </c>
      <c r="G14" s="17" t="inlineStr">
        <is>
          <t>Estado</t>
        </is>
      </c>
    </row>
    <row r="15" ht="18" customHeight="1">
      <c r="A15" s="22" t="inlineStr">
        <is>
          <t>Enero  2026</t>
        </is>
      </c>
      <c r="B15" s="23" t="n">
        <v>1000</v>
      </c>
      <c r="C15" s="23" t="n">
        <v>950</v>
      </c>
      <c r="D15" s="24" t="n">
        <v>266.67</v>
      </c>
      <c r="E15" s="24" t="n">
        <v>253.33</v>
      </c>
      <c r="F15" s="43" t="n">
        <v>0.95</v>
      </c>
      <c r="G15" s="36" t="inlineStr">
        <is>
          <t>✅ OK</t>
        </is>
      </c>
    </row>
    <row r="16" ht="18" customHeight="1">
      <c r="A16" s="18" t="inlineStr">
        <is>
          <t>Febrero 2026</t>
        </is>
      </c>
      <c r="B16" s="19" t="n">
        <v>1000</v>
      </c>
      <c r="C16" s="19" t="n">
        <v>1100</v>
      </c>
      <c r="D16" s="20" t="n">
        <v>266.67</v>
      </c>
      <c r="E16" s="20" t="n">
        <v>293.33</v>
      </c>
      <c r="F16" s="42" t="n">
        <v>1.1</v>
      </c>
      <c r="G16" s="34" t="inlineStr">
        <is>
          <t>🌟 Super</t>
        </is>
      </c>
    </row>
    <row r="17" ht="18" customHeight="1">
      <c r="A17" s="22" t="inlineStr">
        <is>
          <t>Marzo 2026</t>
        </is>
      </c>
      <c r="B17" s="23" t="n">
        <v>1000</v>
      </c>
      <c r="C17" s="23" t="n">
        <v>875</v>
      </c>
      <c r="D17" s="24" t="n">
        <v>266.67</v>
      </c>
      <c r="E17" s="24" t="n">
        <v>233.33</v>
      </c>
      <c r="F17" s="43" t="n">
        <v>0.875</v>
      </c>
      <c r="G17" s="36" t="inlineStr">
        <is>
          <t>🔶 En curso</t>
        </is>
      </c>
    </row>
  </sheetData>
  <mergeCells count="3">
    <mergeCell ref="A1:G1"/>
    <mergeCell ref="A10:B10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2026-03-05T19:34:55Z</dcterms:created>
  <dcterms:modified xsi:type="dcterms:W3CDTF">2026-03-05T19:34:55Z</dcterms:modified>
</cp:coreProperties>
</file>