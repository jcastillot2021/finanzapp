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1" autoFilterDateGrouping="1"/>
  </bookViews>
  <sheets>
    <sheet name="Listas" sheetId="1" state="hidden" r:id="rId1"/>
    <sheet name="Config" sheetId="2" state="visible" r:id="rId2"/>
    <sheet name="Transacciones" sheetId="3" state="visible" r:id="rId3"/>
    <sheet name="Presupuesto" sheetId="4" state="visible" r:id="rId4"/>
    <sheet name="Ahorro" sheetId="5" state="visible" r:id="rId5"/>
    <sheet name="Dashboard" sheetId="6" state="visible" r:id="rId6"/>
  </sheets>
  <definedNames>
    <definedName name="Ingreso">Listas!$A$2:$A$8</definedName>
    <definedName name="Gasto">Listas!$B$2:$B$13</definedName>
    <definedName name="Ahorro">Listas!$C$2:$C$6</definedName>
    <definedName name="Inversión">Listas!$D$2:$D$7</definedName>
    <definedName name="ListaTipos">Listas!$F$2:$F$5</definedName>
    <definedName name="ListaMonedas">Listas!$G$2:$G$3</definedName>
  </definedNames>
  <calcPr calcId="124519" fullCalcOnLoad="1"/>
</workbook>
</file>

<file path=xl/styles.xml><?xml version="1.0" encoding="utf-8"?>
<styleSheet xmlns="http://schemas.openxmlformats.org/spreadsheetml/2006/main">
  <numFmts count="6">
    <numFmt numFmtId="164" formatCode="&quot;S/.&quot; #,##0.00"/>
    <numFmt numFmtId="165" formatCode="&quot;$&quot; #,##0.00"/>
    <numFmt numFmtId="166" formatCode="DD/MM/YYYY"/>
    <numFmt numFmtId="167" formatCode="0.0%"/>
    <numFmt numFmtId="168" formatCode="&quot;$&quot;#,##0.00"/>
    <numFmt numFmtId="169" formatCode="&quot;S/.&quot;#,##0.00"/>
  </numFmts>
  <fonts count="23">
    <font>
      <name val="Calibri"/>
      <family val="2"/>
      <color theme="1"/>
      <sz val="11"/>
      <scheme val="minor"/>
    </font>
    <font>
      <name val="Calibri"/>
      <b val="1"/>
      <color rgb="00374151"/>
      <sz val="10"/>
    </font>
    <font>
      <name val="Calibri"/>
      <b val="1"/>
      <color rgb="00FFFFFF"/>
      <sz val="13"/>
    </font>
    <font>
      <name val="Calibri"/>
      <b val="1"/>
      <color rgb="00FFFFFF"/>
      <sz val="10"/>
    </font>
    <font>
      <name val="Calibri"/>
      <color rgb="00374151"/>
      <sz val="10"/>
    </font>
    <font>
      <name val="Calibri"/>
      <i val="1"/>
      <color rgb="0092400E"/>
      <sz val="9"/>
    </font>
    <font>
      <name val="Calibri"/>
      <color rgb="002563EB"/>
      <sz val="10"/>
    </font>
    <font>
      <name val="Calibri"/>
      <i val="1"/>
      <color rgb="002563EB"/>
      <sz val="9"/>
    </font>
    <font>
      <name val="Calibri"/>
      <b val="1"/>
      <color rgb="002563EB"/>
      <sz val="10"/>
    </font>
    <font>
      <name val="Calibri"/>
      <b val="1"/>
      <color rgb="001E3A5F"/>
      <sz val="10"/>
    </font>
    <font>
      <name val="Calibri"/>
      <b val="1"/>
      <color rgb="0016A34A"/>
      <sz val="10"/>
    </font>
    <font>
      <name val="Calibri"/>
      <b val="1"/>
      <color rgb="00166534"/>
      <sz val="9"/>
    </font>
    <font>
      <name val="Calibri"/>
      <b val="1"/>
      <color rgb="00991B1B"/>
      <sz val="9"/>
    </font>
    <font>
      <name val="Calibri"/>
      <b val="1"/>
      <color rgb="0092400E"/>
      <sz val="9"/>
    </font>
    <font>
      <name val="Calibri"/>
      <b val="1"/>
      <color rgb="003730A3"/>
      <sz val="9"/>
    </font>
    <font>
      <name val="Calibri"/>
      <i val="1"/>
      <color rgb="0016A34A"/>
      <sz val="9"/>
    </font>
    <font>
      <name val="Calibri"/>
      <b val="1"/>
      <color rgb="0092400E"/>
      <sz val="13"/>
    </font>
    <font>
      <name val="Calibri"/>
      <b val="1"/>
      <color rgb="00FFFFFF"/>
      <sz val="11"/>
    </font>
    <font>
      <name val="Calibri"/>
      <b val="1"/>
      <color rgb="00FFFFFF"/>
      <sz val="16"/>
    </font>
    <font>
      <name val="Calibri"/>
      <i val="1"/>
      <color rgb="00FFFFFF"/>
      <sz val="9"/>
    </font>
    <font>
      <name val="Calibri"/>
      <b val="1"/>
      <color rgb="001E3A5F"/>
      <sz val="14"/>
    </font>
    <font>
      <name val="Calibri"/>
      <b val="1"/>
      <color rgb="0016A34A"/>
      <sz val="11"/>
    </font>
    <font>
      <name val="Calibri"/>
      <b val="1"/>
      <color rgb="00FFFFFF"/>
      <sz val="9"/>
    </font>
  </fonts>
  <fills count="15">
    <fill>
      <patternFill/>
    </fill>
    <fill>
      <patternFill patternType="gray125"/>
    </fill>
    <fill>
      <patternFill patternType="solid">
        <fgColor rgb="001E3A5F"/>
      </patternFill>
    </fill>
    <fill>
      <patternFill patternType="solid">
        <fgColor rgb="002563EB"/>
      </patternFill>
    </fill>
    <fill>
      <patternFill patternType="solid">
        <fgColor rgb="00EEF2FF"/>
      </patternFill>
    </fill>
    <fill>
      <patternFill patternType="solid">
        <fgColor rgb="00FFFFFF"/>
      </patternFill>
    </fill>
    <fill>
      <patternFill patternType="solid">
        <fgColor rgb="00FEF3C7"/>
      </patternFill>
    </fill>
    <fill>
      <patternFill patternType="solid">
        <fgColor rgb="00DBEAFE"/>
      </patternFill>
    </fill>
    <fill>
      <patternFill patternType="solid">
        <fgColor rgb="00DCFCE7"/>
      </patternFill>
    </fill>
    <fill>
      <patternFill patternType="solid">
        <fgColor rgb="00FEE2E2"/>
      </patternFill>
    </fill>
    <fill>
      <patternFill patternType="solid">
        <fgColor rgb="00E0E7FF"/>
      </patternFill>
    </fill>
    <fill>
      <patternFill patternType="solid">
        <fgColor rgb="0016A34A"/>
      </patternFill>
    </fill>
    <fill>
      <patternFill patternType="solid">
        <fgColor rgb="00374151"/>
      </patternFill>
    </fill>
    <fill>
      <patternFill patternType="solid">
        <fgColor rgb="00F59E0B"/>
      </patternFill>
    </fill>
    <fill>
      <patternFill patternType="solid">
        <fgColor rgb="00DC2626"/>
      </patternFill>
    </fill>
  </fills>
  <borders count="3">
    <border>
      <left/>
      <right/>
      <top/>
      <bottom/>
      <diagonal/>
    </border>
    <border>
      <left style="thin">
        <color rgb="00CBD5E1"/>
      </left>
      <right style="thin">
        <color rgb="00CBD5E1"/>
      </right>
      <top style="thin">
        <color rgb="00CBD5E1"/>
      </top>
      <bottom style="thin">
        <color rgb="00CBD5E1"/>
      </bottom>
    </border>
    <border>
      <left style="medium">
        <color rgb="00991B1B"/>
      </left>
      <right style="medium">
        <color rgb="00991B1B"/>
      </right>
      <top style="medium">
        <color rgb="00991B1B"/>
      </top>
      <bottom style="medium">
        <color rgb="00991B1B"/>
      </bottom>
    </border>
  </borders>
  <cellStyleXfs count="1">
    <xf numFmtId="0" fontId="0" fillId="0" borderId="0"/>
  </cellStyleXfs>
  <cellXfs count="67">
    <xf numFmtId="0" fontId="0" fillId="0" borderId="0" pivotButton="0" quotePrefix="0" xfId="0"/>
    <xf numFmtId="0" fontId="1" fillId="0" borderId="0" pivotButton="0" quotePrefix="0" xfId="0"/>
    <xf numFmtId="0" fontId="2" fillId="2" borderId="0" applyAlignment="1" pivotButton="0" quotePrefix="0" xfId="0">
      <alignment horizontal="center" vertical="center" wrapText="1"/>
    </xf>
    <xf numFmtId="0" fontId="3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left" vertical="center"/>
    </xf>
    <xf numFmtId="164" fontId="4" fillId="4" borderId="1" applyAlignment="1" pivotButton="0" quotePrefix="0" xfId="0">
      <alignment horizontal="right" vertical="center"/>
    </xf>
    <xf numFmtId="0" fontId="4" fillId="5" borderId="1" applyAlignment="1" pivotButton="0" quotePrefix="0" xfId="0">
      <alignment horizontal="center" vertical="center" wrapText="1"/>
    </xf>
    <xf numFmtId="0" fontId="4" fillId="5" borderId="1" applyAlignment="1" pivotButton="0" quotePrefix="0" xfId="0">
      <alignment horizontal="left" vertical="center"/>
    </xf>
    <xf numFmtId="0" fontId="6" fillId="7" borderId="1" applyAlignment="1" pivotButton="0" quotePrefix="0" xfId="0">
      <alignment horizontal="right" vertical="center"/>
    </xf>
    <xf numFmtId="165" fontId="4" fillId="4" borderId="1" applyAlignment="1" pivotButton="0" quotePrefix="0" xfId="0">
      <alignment horizontal="right" vertical="center"/>
    </xf>
    <xf numFmtId="0" fontId="4" fillId="5" borderId="1" applyAlignment="1" pivotButton="0" quotePrefix="0" xfId="0">
      <alignment horizontal="right" vertical="center"/>
    </xf>
    <xf numFmtId="9" fontId="4" fillId="4" borderId="1" applyAlignment="1" pivotButton="0" quotePrefix="0" xfId="0">
      <alignment horizontal="right" vertical="center"/>
    </xf>
    <xf numFmtId="0" fontId="5" fillId="6" borderId="0" applyAlignment="1" pivotButton="0" quotePrefix="0" xfId="0">
      <alignment horizontal="center" vertical="center" wrapText="1"/>
    </xf>
    <xf numFmtId="0" fontId="7" fillId="7" borderId="0" applyAlignment="1" pivotButton="0" quotePrefix="0" xfId="0">
      <alignment horizontal="left" vertical="center"/>
    </xf>
    <xf numFmtId="0" fontId="3" fillId="2" borderId="1" applyAlignment="1" pivotButton="0" quotePrefix="0" xfId="0">
      <alignment horizontal="center" vertical="center" wrapText="1"/>
    </xf>
    <xf numFmtId="166" fontId="4" fillId="4" borderId="1" applyAlignment="1" pivotButton="0" quotePrefix="0" xfId="0">
      <alignment horizontal="center" vertical="center" wrapText="1"/>
    </xf>
    <xf numFmtId="0" fontId="8" fillId="4" borderId="1" applyAlignment="1" pivotButton="0" quotePrefix="0" xfId="0">
      <alignment horizontal="center" vertical="center" wrapText="1"/>
    </xf>
    <xf numFmtId="4" fontId="4" fillId="4" borderId="1" applyAlignment="1" pivotButton="0" quotePrefix="0" xfId="0">
      <alignment horizontal="right" vertical="center"/>
    </xf>
    <xf numFmtId="2" fontId="6" fillId="7" borderId="1" applyAlignment="1" pivotButton="0" quotePrefix="0" xfId="0">
      <alignment horizontal="right" vertical="center"/>
    </xf>
    <xf numFmtId="164" fontId="9" fillId="7" borderId="1" applyAlignment="1" pivotButton="0" quotePrefix="0" xfId="0">
      <alignment horizontal="right" vertical="center"/>
    </xf>
    <xf numFmtId="165" fontId="10" fillId="7" borderId="1" applyAlignment="1" pivotButton="0" quotePrefix="0" xfId="0">
      <alignment horizontal="right" vertical="center"/>
    </xf>
    <xf numFmtId="0" fontId="11" fillId="8" borderId="1" applyAlignment="1" pivotButton="0" quotePrefix="0" xfId="0">
      <alignment horizontal="center" vertical="center" wrapText="1"/>
    </xf>
    <xf numFmtId="166" fontId="4" fillId="5" borderId="1" applyAlignment="1" pivotButton="0" quotePrefix="0" xfId="0">
      <alignment horizontal="center" vertical="center" wrapText="1"/>
    </xf>
    <xf numFmtId="0" fontId="8" fillId="5" borderId="1" applyAlignment="1" pivotButton="0" quotePrefix="0" xfId="0">
      <alignment horizontal="center" vertical="center" wrapText="1"/>
    </xf>
    <xf numFmtId="4" fontId="4" fillId="5" borderId="1" applyAlignment="1" pivotButton="0" quotePrefix="0" xfId="0">
      <alignment horizontal="right" vertical="center"/>
    </xf>
    <xf numFmtId="0" fontId="12" fillId="9" borderId="1" applyAlignment="1" pivotButton="0" quotePrefix="0" xfId="0">
      <alignment horizontal="center" vertical="center" wrapText="1"/>
    </xf>
    <xf numFmtId="0" fontId="13" fillId="6" borderId="1" applyAlignment="1" pivotButton="0" quotePrefix="0" xfId="0">
      <alignment horizontal="center" vertical="center" wrapText="1"/>
    </xf>
    <xf numFmtId="0" fontId="14" fillId="10" borderId="1" applyAlignment="1" pivotButton="0" quotePrefix="0" xfId="0">
      <alignment horizontal="center" vertical="center" wrapText="1"/>
    </xf>
    <xf numFmtId="0" fontId="3" fillId="2" borderId="0" applyAlignment="1" pivotButton="0" quotePrefix="0" xfId="0">
      <alignment horizontal="center" vertical="center" wrapText="1"/>
    </xf>
    <xf numFmtId="4" fontId="3" fillId="2" borderId="1" applyAlignment="1" pivotButton="0" quotePrefix="0" xfId="0">
      <alignment horizontal="right" vertical="center"/>
    </xf>
    <xf numFmtId="0" fontId="0" fillId="2" borderId="0" pivotButton="0" quotePrefix="0" xfId="0"/>
    <xf numFmtId="164" fontId="3" fillId="2" borderId="1" applyAlignment="1" pivotButton="0" quotePrefix="0" xfId="0">
      <alignment horizontal="right" vertical="center"/>
    </xf>
    <xf numFmtId="165" fontId="3" fillId="2" borderId="1" applyAlignment="1" pivotButton="0" quotePrefix="0" xfId="0">
      <alignment horizontal="right" vertical="center"/>
    </xf>
    <xf numFmtId="0" fontId="15" fillId="8" borderId="0" applyAlignment="1" pivotButton="0" quotePrefix="0" xfId="0">
      <alignment horizontal="center" vertical="center" wrapText="1"/>
    </xf>
    <xf numFmtId="0" fontId="2" fillId="11" borderId="0" applyAlignment="1" pivotButton="0" quotePrefix="0" xfId="0">
      <alignment horizontal="center" vertical="center" wrapText="1"/>
    </xf>
    <xf numFmtId="0" fontId="3" fillId="12" borderId="1" applyAlignment="1" pivotButton="0" quotePrefix="0" xfId="0">
      <alignment horizontal="center" vertical="center" wrapText="1"/>
    </xf>
    <xf numFmtId="9" fontId="4" fillId="4" borderId="1" applyAlignment="1" pivotButton="0" quotePrefix="0" xfId="0">
      <alignment horizontal="center" vertical="center" wrapText="1"/>
    </xf>
    <xf numFmtId="164" fontId="4" fillId="5" borderId="1" applyAlignment="1" pivotButton="0" quotePrefix="0" xfId="0">
      <alignment horizontal="right" vertical="center"/>
    </xf>
    <xf numFmtId="165" fontId="4" fillId="5" borderId="1" applyAlignment="1" pivotButton="0" quotePrefix="0" xfId="0">
      <alignment horizontal="right" vertical="center"/>
    </xf>
    <xf numFmtId="9" fontId="4" fillId="5" borderId="1" applyAlignment="1" pivotButton="0" quotePrefix="0" xfId="0">
      <alignment horizontal="center" vertical="center" wrapText="1"/>
    </xf>
    <xf numFmtId="0" fontId="16" fillId="13" borderId="0" applyAlignment="1" pivotButton="0" quotePrefix="0" xfId="0">
      <alignment horizontal="center" vertical="center" wrapText="1"/>
    </xf>
    <xf numFmtId="167" fontId="4" fillId="4" borderId="1" applyAlignment="1" pivotButton="0" quotePrefix="0" xfId="0">
      <alignment horizontal="center" vertical="center" wrapText="1"/>
    </xf>
    <xf numFmtId="167" fontId="4" fillId="5" borderId="1" applyAlignment="1" pivotButton="0" quotePrefix="0" xfId="0">
      <alignment horizontal="center" vertical="center" wrapText="1"/>
    </xf>
    <xf numFmtId="164" fontId="17" fillId="2" borderId="1" applyAlignment="1" pivotButton="0" quotePrefix="0" xfId="0">
      <alignment horizontal="right" vertical="center"/>
    </xf>
    <xf numFmtId="165" fontId="17" fillId="2" borderId="1" applyAlignment="1" pivotButton="0" quotePrefix="0" xfId="0">
      <alignment horizontal="right" vertical="center"/>
    </xf>
    <xf numFmtId="0" fontId="18" fillId="2" borderId="0" applyAlignment="1" pivotButton="0" quotePrefix="0" xfId="0">
      <alignment horizontal="center" vertical="center" wrapText="1"/>
    </xf>
    <xf numFmtId="0" fontId="19" fillId="3" borderId="0" applyAlignment="1" pivotButton="0" quotePrefix="0" xfId="0">
      <alignment horizontal="center" vertical="center" wrapText="1"/>
    </xf>
    <xf numFmtId="0" fontId="0" fillId="0" borderId="1" pivotButton="0" quotePrefix="0" xfId="0"/>
    <xf numFmtId="164" fontId="20" fillId="8" borderId="1" applyAlignment="1" pivotButton="0" quotePrefix="0" xfId="0">
      <alignment horizontal="center" vertical="center" wrapText="1"/>
    </xf>
    <xf numFmtId="164" fontId="20" fillId="9" borderId="1" applyAlignment="1" pivotButton="0" quotePrefix="0" xfId="0">
      <alignment horizontal="center" vertical="center" wrapText="1"/>
    </xf>
    <xf numFmtId="164" fontId="20" fillId="6" borderId="1" applyAlignment="1" pivotButton="0" quotePrefix="0" xfId="0">
      <alignment horizontal="center" vertical="center" wrapText="1"/>
    </xf>
    <xf numFmtId="165" fontId="21" fillId="8" borderId="1" applyAlignment="1" pivotButton="0" quotePrefix="0" xfId="0">
      <alignment horizontal="center" vertical="center" wrapText="1"/>
    </xf>
    <xf numFmtId="165" fontId="21" fillId="9" borderId="1" applyAlignment="1" pivotButton="0" quotePrefix="0" xfId="0">
      <alignment horizontal="center" vertical="center" wrapText="1"/>
    </xf>
    <xf numFmtId="165" fontId="21" fillId="6" borderId="1" applyAlignment="1" pivotButton="0" quotePrefix="0" xfId="0">
      <alignment horizontal="center" vertical="center" wrapText="1"/>
    </xf>
    <xf numFmtId="0" fontId="0" fillId="8" borderId="1" pivotButton="0" quotePrefix="0" xfId="0"/>
    <xf numFmtId="0" fontId="0" fillId="9" borderId="1" pivotButton="0" quotePrefix="0" xfId="0"/>
    <xf numFmtId="0" fontId="0" fillId="6" borderId="1" pivotButton="0" quotePrefix="0" xfId="0"/>
    <xf numFmtId="0" fontId="17" fillId="2" borderId="0" applyAlignment="1" pivotButton="0" quotePrefix="0" xfId="0">
      <alignment horizontal="center" vertical="center" wrapText="1"/>
    </xf>
    <xf numFmtId="0" fontId="3" fillId="3" borderId="0" applyAlignment="1" pivotButton="0" quotePrefix="0" xfId="0">
      <alignment horizontal="center" vertical="center" wrapText="1"/>
    </xf>
    <xf numFmtId="0" fontId="22" fillId="12" borderId="1" applyAlignment="1" pivotButton="0" quotePrefix="0" xfId="0">
      <alignment horizontal="center" vertical="center" wrapText="1"/>
    </xf>
    <xf numFmtId="168" fontId="4" fillId="4" borderId="1" applyAlignment="1" pivotButton="0" quotePrefix="0" xfId="0">
      <alignment horizontal="right" vertical="center"/>
    </xf>
    <xf numFmtId="169" fontId="4" fillId="4" borderId="1" applyAlignment="1" pivotButton="0" quotePrefix="0" xfId="0">
      <alignment horizontal="right" vertical="center"/>
    </xf>
    <xf numFmtId="168" fontId="4" fillId="5" borderId="1" applyAlignment="1" pivotButton="0" quotePrefix="0" xfId="0">
      <alignment horizontal="right" vertical="center"/>
    </xf>
    <xf numFmtId="169" fontId="4" fillId="5" borderId="1" applyAlignment="1" pivotButton="0" quotePrefix="0" xfId="0">
      <alignment horizontal="right" vertical="center"/>
    </xf>
    <xf numFmtId="0" fontId="17" fillId="14" borderId="2" applyAlignment="1" pivotButton="0" quotePrefix="0" xfId="0">
      <alignment horizontal="center" vertical="center" wrapText="1"/>
    </xf>
    <xf numFmtId="0" fontId="5" fillId="6" borderId="0" applyAlignment="1" pivotButton="0" quotePrefix="0" xfId="0">
      <alignment horizontal="left" vertical="center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Id="rId_vba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Distribución de Gastos S/.</a:t>
            </a:r>
          </a:p>
        </rich>
      </tx>
    </title>
    <plotArea>
      <pieChart>
        <varyColors val="1"/>
        <ser>
          <idx val="0"/>
          <order val="0"/>
          <tx>
            <strRef>
              <f>'Dashboard'!C13</f>
            </strRef>
          </tx>
          <spPr>
            <a:ln>
              <a:prstDash val="solid"/>
            </a:ln>
          </spPr>
          <cat>
            <numRef>
              <f>'Dashboard'!$B$14:$B$22</f>
            </numRef>
          </cat>
          <val>
            <numRef>
              <f>'Dashboard'!$C$14:$C$22</f>
            </numRef>
          </val>
        </ser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</col>
      <colOff>0</colOff>
      <row>28</row>
      <rowOff>0</rowOff>
    </from>
    <ext cx="4680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13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Ingreso</t>
        </is>
      </c>
      <c r="B1" s="1" t="inlineStr">
        <is>
          <t>Gasto</t>
        </is>
      </c>
      <c r="C1" s="1" t="inlineStr">
        <is>
          <t>Ahorro</t>
        </is>
      </c>
      <c r="D1" s="1" t="inlineStr">
        <is>
          <t>Inversión</t>
        </is>
      </c>
      <c r="F1" t="inlineStr">
        <is>
          <t>Tipos</t>
        </is>
      </c>
      <c r="G1" t="inlineStr">
        <is>
          <t>Monedas</t>
        </is>
      </c>
    </row>
    <row r="2">
      <c r="A2" t="inlineStr">
        <is>
          <t>Sueldo</t>
        </is>
      </c>
      <c r="B2" t="inlineStr">
        <is>
          <t>Alimentación</t>
        </is>
      </c>
      <c r="C2" t="inlineStr">
        <is>
          <t>Ahorro emergencia</t>
        </is>
      </c>
      <c r="D2" t="inlineStr">
        <is>
          <t>Fondo Mutuo</t>
        </is>
      </c>
      <c r="F2" t="inlineStr">
        <is>
          <t>Ingreso</t>
        </is>
      </c>
      <c r="G2" t="inlineStr">
        <is>
          <t>PEN</t>
        </is>
      </c>
    </row>
    <row r="3">
      <c r="A3" t="inlineStr">
        <is>
          <t>Freelance</t>
        </is>
      </c>
      <c r="B3" t="inlineStr">
        <is>
          <t>Transporte</t>
        </is>
      </c>
      <c r="C3" t="inlineStr">
        <is>
          <t>Ahorro metas</t>
        </is>
      </c>
      <c r="D3" t="inlineStr">
        <is>
          <t>AFP</t>
        </is>
      </c>
      <c r="F3" t="inlineStr">
        <is>
          <t>Gasto</t>
        </is>
      </c>
      <c r="G3" t="inlineStr">
        <is>
          <t>USD</t>
        </is>
      </c>
    </row>
    <row r="4">
      <c r="A4" t="inlineStr">
        <is>
          <t>Alquiler</t>
        </is>
      </c>
      <c r="B4" t="inlineStr">
        <is>
          <t>Servicios</t>
        </is>
      </c>
      <c r="C4" t="inlineStr">
        <is>
          <t>CTS</t>
        </is>
      </c>
      <c r="D4" t="inlineStr">
        <is>
          <t>Acciones/ETF</t>
        </is>
      </c>
      <c r="F4" t="inlineStr">
        <is>
          <t>Ahorro</t>
        </is>
      </c>
    </row>
    <row r="5">
      <c r="A5" t="inlineStr">
        <is>
          <t>Bono</t>
        </is>
      </c>
      <c r="B5" t="inlineStr">
        <is>
          <t>Entretenimiento</t>
        </is>
      </c>
      <c r="C5" t="inlineStr">
        <is>
          <t>Efectivo</t>
        </is>
      </c>
      <c r="D5" t="inlineStr">
        <is>
          <t>Cripto</t>
        </is>
      </c>
      <c r="F5" t="inlineStr">
        <is>
          <t>Inversión</t>
        </is>
      </c>
    </row>
    <row r="6">
      <c r="A6" t="inlineStr">
        <is>
          <t>Comisión</t>
        </is>
      </c>
      <c r="B6" t="inlineStr">
        <is>
          <t>Salud</t>
        </is>
      </c>
      <c r="C6" t="inlineStr">
        <is>
          <t>Otro ahorro</t>
        </is>
      </c>
      <c r="D6" t="inlineStr">
        <is>
          <t>Depósito a Plazo</t>
        </is>
      </c>
    </row>
    <row r="7">
      <c r="A7" t="inlineStr">
        <is>
          <t>Reembolso</t>
        </is>
      </c>
      <c r="B7" t="inlineStr">
        <is>
          <t>Ropa</t>
        </is>
      </c>
      <c r="D7" t="inlineStr">
        <is>
          <t>Otro inversión</t>
        </is>
      </c>
    </row>
    <row r="8">
      <c r="A8" t="inlineStr">
        <is>
          <t>Otro ingreso</t>
        </is>
      </c>
      <c r="B8" t="inlineStr">
        <is>
          <t>Educación</t>
        </is>
      </c>
    </row>
    <row r="9">
      <c r="B9" t="inlineStr">
        <is>
          <t>Hogar</t>
        </is>
      </c>
    </row>
    <row r="10">
      <c r="B10" t="inlineStr">
        <is>
          <t>Mascota</t>
        </is>
      </c>
    </row>
    <row r="11">
      <c r="B11" t="inlineStr">
        <is>
          <t>Viajes</t>
        </is>
      </c>
    </row>
    <row r="12">
      <c r="B12" t="inlineStr">
        <is>
          <t>Suscripciones</t>
        </is>
      </c>
    </row>
    <row r="13">
      <c r="B13" t="inlineStr">
        <is>
          <t>Otro gasto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11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0" customWidth="1" min="2" max="2"/>
    <col width="18" customWidth="1" min="3" max="3"/>
    <col width="28" customWidth="1" min="4" max="4"/>
  </cols>
  <sheetData>
    <row r="1" ht="38" customHeight="1">
      <c r="A1" s="2" t="inlineStr">
        <is>
          <t>⚙  CONFIGURACIÓN  BIMONEDA  |  FinanzPro</t>
        </is>
      </c>
    </row>
    <row r="2" ht="8" customHeight="1"/>
    <row r="3" ht="24" customHeight="1">
      <c r="A3" s="3" t="inlineStr"/>
      <c r="B3" s="3" t="inlineStr">
        <is>
          <t>Parámetro</t>
        </is>
      </c>
      <c r="C3" s="3" t="inlineStr">
        <is>
          <t>Valor</t>
        </is>
      </c>
      <c r="D3" s="3" t="inlineStr">
        <is>
          <t>Descripción</t>
        </is>
      </c>
    </row>
    <row r="4" ht="22" customHeight="1">
      <c r="A4" s="4" t="inlineStr">
        <is>
          <t>💱</t>
        </is>
      </c>
      <c r="B4" s="5" t="inlineStr">
        <is>
          <t>Tipo de cambio (S/. por USD)</t>
        </is>
      </c>
      <c r="C4" s="6" t="n">
        <v>3.75</v>
      </c>
      <c r="D4" s="5" t="inlineStr">
        <is>
          <t>Actualiza aquí → todo se recalcula</t>
        </is>
      </c>
    </row>
    <row r="5" ht="22" customHeight="1">
      <c r="A5" s="7" t="inlineStr">
        <is>
          <t>📅</t>
        </is>
      </c>
      <c r="B5" s="8" t="inlineStr">
        <is>
          <t>Mes activo</t>
        </is>
      </c>
      <c r="C5" s="9" t="inlineStr">
        <is>
          <t>Marzo 2026</t>
        </is>
      </c>
      <c r="D5" s="8" t="inlineStr">
        <is>
          <t>Mes en curso</t>
        </is>
      </c>
    </row>
    <row r="6" ht="22" customHeight="1">
      <c r="A6" s="4" t="inlineStr">
        <is>
          <t>💰</t>
        </is>
      </c>
      <c r="B6" s="5" t="inlineStr">
        <is>
          <t>Presupuesto mensual (S/.)</t>
        </is>
      </c>
      <c r="C6" s="10" t="n">
        <v>5500</v>
      </c>
      <c r="D6" s="5" t="inlineStr">
        <is>
          <t>Meta de gasto mensual</t>
        </is>
      </c>
    </row>
    <row r="7" ht="22" customHeight="1">
      <c r="A7" s="7" t="inlineStr">
        <is>
          <t>💵</t>
        </is>
      </c>
      <c r="B7" s="8" t="inlineStr">
        <is>
          <t>Presupuesto mensual (USD)</t>
        </is>
      </c>
      <c r="C7" s="11">
        <f>C5/C4</f>
        <v/>
      </c>
      <c r="D7" s="8" t="inlineStr">
        <is>
          <t>Auto: presupuesto / TC</t>
        </is>
      </c>
    </row>
    <row r="8" ht="22" customHeight="1">
      <c r="A8" s="4" t="inlineStr">
        <is>
          <t>🎯</t>
        </is>
      </c>
      <c r="B8" s="5" t="inlineStr">
        <is>
          <t>Meta de ahorro (%)</t>
        </is>
      </c>
      <c r="C8" s="12" t="n">
        <v>0.2</v>
      </c>
      <c r="D8" s="5" t="inlineStr">
        <is>
          <t>20% sobre ingresos</t>
        </is>
      </c>
    </row>
    <row r="9" ht="22" customHeight="1">
      <c r="A9" s="7" t="inlineStr">
        <is>
          <t>🏦</t>
        </is>
      </c>
      <c r="B9" s="8" t="inlineStr">
        <is>
          <t>Ingreso estimado (S/.)</t>
        </is>
      </c>
      <c r="C9" s="11" t="n">
        <v>5000</v>
      </c>
      <c r="D9" s="8" t="inlineStr">
        <is>
          <t>Para calcular meta de ahorro</t>
        </is>
      </c>
    </row>
    <row r="11" ht="30" customHeight="1">
      <c r="B11" s="13" t="inlineStr">
        <is>
          <t>💡 Solo edita las celdas en azul (columna C).  Las demás hojas se actualizan automáticamente.</t>
        </is>
      </c>
    </row>
  </sheetData>
  <mergeCells count="2">
    <mergeCell ref="A1:D1"/>
    <mergeCell ref="B11:D1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J35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2" customWidth="1" min="1" max="1"/>
    <col width="13" customWidth="1" min="2" max="2"/>
    <col width="22" customWidth="1" min="3" max="3"/>
    <col width="26" customWidth="1" min="4" max="4"/>
    <col width="9" customWidth="1" min="5" max="5"/>
    <col width="13" customWidth="1" min="6" max="6"/>
    <col width="7" customWidth="1" min="7" max="7"/>
    <col width="14" customWidth="1" min="8" max="8"/>
    <col width="12" customWidth="1" min="9" max="9"/>
    <col width="13" customWidth="1" min="10" max="10"/>
  </cols>
  <sheetData>
    <row r="1" ht="38" customHeight="1">
      <c r="A1" s="2" t="inlineStr">
        <is>
          <t>📋  REGISTRO DE TRANSACCIONES  |  MARZO 2026</t>
        </is>
      </c>
    </row>
    <row r="2" ht="18" customHeight="1">
      <c r="A2" s="14" t="inlineStr">
        <is>
          <t xml:space="preserve">   Tipo de cambio tomado de Config!C4  ·  Columnas H e I se calculan automáticamente  ·  Solo llena A–F</t>
        </is>
      </c>
    </row>
    <row r="3" ht="28" customHeight="1">
      <c r="A3" s="15" t="inlineStr">
        <is>
          <t>📅 Fecha</t>
        </is>
      </c>
      <c r="B3" s="15" t="inlineStr">
        <is>
          <t>🏷 Tipo</t>
        </is>
      </c>
      <c r="C3" s="15" t="inlineStr">
        <is>
          <t>📁 Categoría</t>
        </is>
      </c>
      <c r="D3" s="15" t="inlineStr">
        <is>
          <t>📝 Descripción</t>
        </is>
      </c>
      <c r="E3" s="15" t="inlineStr">
        <is>
          <t>💱 Mon.</t>
        </is>
      </c>
      <c r="F3" s="15" t="inlineStr">
        <is>
          <t>💲 Importe</t>
        </is>
      </c>
      <c r="G3" s="15" t="inlineStr">
        <is>
          <t>T.C.</t>
        </is>
      </c>
      <c r="H3" s="15" t="inlineStr">
        <is>
          <t>S/. Equiv.</t>
        </is>
      </c>
      <c r="I3" s="15" t="inlineStr">
        <is>
          <t>USD Equiv.</t>
        </is>
      </c>
      <c r="J3" s="15" t="inlineStr">
        <is>
          <t>✔ Estado</t>
        </is>
      </c>
    </row>
    <row r="4" ht="18" customHeight="1">
      <c r="A4" s="16" t="inlineStr">
        <is>
          <t>01/03/2026</t>
        </is>
      </c>
      <c r="B4" s="4" t="inlineStr">
        <is>
          <t>Ingreso</t>
        </is>
      </c>
      <c r="C4" s="5" t="inlineStr">
        <is>
          <t>Sueldo</t>
        </is>
      </c>
      <c r="D4" s="5" t="inlineStr">
        <is>
          <t>Sueldo mensual neto</t>
        </is>
      </c>
      <c r="E4" s="17" t="inlineStr">
        <is>
          <t>PEN</t>
        </is>
      </c>
      <c r="F4" s="18" t="n">
        <v>4200</v>
      </c>
      <c r="G4" s="19">
        <f>Config!$C$4</f>
        <v/>
      </c>
      <c r="H4" s="20">
        <f>IF(E4="PEN",F4,F4*G4)</f>
        <v/>
      </c>
      <c r="I4" s="21">
        <f>IF(E4="USD",F4,F4/G4)</f>
        <v/>
      </c>
      <c r="J4" s="22" t="inlineStr">
        <is>
          <t>✅ Ingreso</t>
        </is>
      </c>
    </row>
    <row r="5" ht="18" customHeight="1">
      <c r="A5" s="23" t="inlineStr">
        <is>
          <t>01/03/2026</t>
        </is>
      </c>
      <c r="B5" s="7" t="inlineStr">
        <is>
          <t>Ingreso</t>
        </is>
      </c>
      <c r="C5" s="8" t="inlineStr">
        <is>
          <t>Freelance</t>
        </is>
      </c>
      <c r="D5" s="8" t="inlineStr">
        <is>
          <t>Proyecto diseño web</t>
        </is>
      </c>
      <c r="E5" s="24" t="inlineStr">
        <is>
          <t>USD</t>
        </is>
      </c>
      <c r="F5" s="25" t="n">
        <v>350</v>
      </c>
      <c r="G5" s="19">
        <f>Config!$C$4</f>
        <v/>
      </c>
      <c r="H5" s="20">
        <f>IF(E5="PEN",F5,F5*G5)</f>
        <v/>
      </c>
      <c r="I5" s="21">
        <f>IF(E5="USD",F5,F5/G5)</f>
        <v/>
      </c>
      <c r="J5" s="22" t="inlineStr">
        <is>
          <t>✅ Ingreso</t>
        </is>
      </c>
    </row>
    <row r="6" ht="18" customHeight="1">
      <c r="A6" s="16" t="inlineStr">
        <is>
          <t>02/03/2026</t>
        </is>
      </c>
      <c r="B6" s="4" t="inlineStr">
        <is>
          <t>Gasto</t>
        </is>
      </c>
      <c r="C6" s="5" t="inlineStr">
        <is>
          <t>Alimentación</t>
        </is>
      </c>
      <c r="D6" s="5" t="inlineStr">
        <is>
          <t>Supermercado Wong</t>
        </is>
      </c>
      <c r="E6" s="17" t="inlineStr">
        <is>
          <t>PEN</t>
        </is>
      </c>
      <c r="F6" s="18" t="n">
        <v>280</v>
      </c>
      <c r="G6" s="19">
        <f>Config!$C$4</f>
        <v/>
      </c>
      <c r="H6" s="20">
        <f>IF(E6="PEN",F6,F6*G6)</f>
        <v/>
      </c>
      <c r="I6" s="21">
        <f>IF(E6="USD",F6,F6/G6)</f>
        <v/>
      </c>
      <c r="J6" s="26" t="inlineStr">
        <is>
          <t>💸 Gasto</t>
        </is>
      </c>
    </row>
    <row r="7" ht="18" customHeight="1">
      <c r="A7" s="23" t="inlineStr">
        <is>
          <t>03/03/2026</t>
        </is>
      </c>
      <c r="B7" s="7" t="inlineStr">
        <is>
          <t>Gasto</t>
        </is>
      </c>
      <c r="C7" s="8" t="inlineStr">
        <is>
          <t>Transporte</t>
        </is>
      </c>
      <c r="D7" s="8" t="inlineStr">
        <is>
          <t>Gasolina Primax</t>
        </is>
      </c>
      <c r="E7" s="24" t="inlineStr">
        <is>
          <t>PEN</t>
        </is>
      </c>
      <c r="F7" s="25" t="n">
        <v>90</v>
      </c>
      <c r="G7" s="19">
        <f>Config!$C$4</f>
        <v/>
      </c>
      <c r="H7" s="20">
        <f>IF(E7="PEN",F7,F7*G7)</f>
        <v/>
      </c>
      <c r="I7" s="21">
        <f>IF(E7="USD",F7,F7/G7)</f>
        <v/>
      </c>
      <c r="J7" s="26" t="inlineStr">
        <is>
          <t>💸 Gasto</t>
        </is>
      </c>
    </row>
    <row r="8" ht="18" customHeight="1">
      <c r="A8" s="16" t="inlineStr">
        <is>
          <t>04/03/2026</t>
        </is>
      </c>
      <c r="B8" s="4" t="inlineStr">
        <is>
          <t>Gasto</t>
        </is>
      </c>
      <c r="C8" s="5" t="inlineStr">
        <is>
          <t>Servicios</t>
        </is>
      </c>
      <c r="D8" s="5" t="inlineStr">
        <is>
          <t>Recibo Luz Enel</t>
        </is>
      </c>
      <c r="E8" s="17" t="inlineStr">
        <is>
          <t>PEN</t>
        </is>
      </c>
      <c r="F8" s="18" t="n">
        <v>65</v>
      </c>
      <c r="G8" s="19">
        <f>Config!$C$4</f>
        <v/>
      </c>
      <c r="H8" s="20">
        <f>IF(E8="PEN",F8,F8*G8)</f>
        <v/>
      </c>
      <c r="I8" s="21">
        <f>IF(E8="USD",F8,F8/G8)</f>
        <v/>
      </c>
      <c r="J8" s="26" t="inlineStr">
        <is>
          <t>💸 Gasto</t>
        </is>
      </c>
    </row>
    <row r="9" ht="18" customHeight="1">
      <c r="A9" s="23" t="inlineStr">
        <is>
          <t>04/03/2026</t>
        </is>
      </c>
      <c r="B9" s="7" t="inlineStr">
        <is>
          <t>Gasto</t>
        </is>
      </c>
      <c r="C9" s="8" t="inlineStr">
        <is>
          <t>Servicios</t>
        </is>
      </c>
      <c r="D9" s="8" t="inlineStr">
        <is>
          <t>Recibo Agua Sedapal</t>
        </is>
      </c>
      <c r="E9" s="24" t="inlineStr">
        <is>
          <t>PEN</t>
        </is>
      </c>
      <c r="F9" s="25" t="n">
        <v>35</v>
      </c>
      <c r="G9" s="19">
        <f>Config!$C$4</f>
        <v/>
      </c>
      <c r="H9" s="20">
        <f>IF(E9="PEN",F9,F9*G9)</f>
        <v/>
      </c>
      <c r="I9" s="21">
        <f>IF(E9="USD",F9,F9/G9)</f>
        <v/>
      </c>
      <c r="J9" s="26" t="inlineStr">
        <is>
          <t>💸 Gasto</t>
        </is>
      </c>
    </row>
    <row r="10" ht="18" customHeight="1">
      <c r="A10" s="16" t="inlineStr">
        <is>
          <t>05/03/2026</t>
        </is>
      </c>
      <c r="B10" s="4" t="inlineStr">
        <is>
          <t>Gasto</t>
        </is>
      </c>
      <c r="C10" s="5" t="inlineStr">
        <is>
          <t>Suscripciones</t>
        </is>
      </c>
      <c r="D10" s="5" t="inlineStr">
        <is>
          <t>Netflix + Spotify</t>
        </is>
      </c>
      <c r="E10" s="17" t="inlineStr">
        <is>
          <t>USD</t>
        </is>
      </c>
      <c r="F10" s="18" t="n">
        <v>22</v>
      </c>
      <c r="G10" s="19">
        <f>Config!$C$4</f>
        <v/>
      </c>
      <c r="H10" s="20">
        <f>IF(E10="PEN",F10,F10*G10)</f>
        <v/>
      </c>
      <c r="I10" s="21">
        <f>IF(E10="USD",F10,F10/G10)</f>
        <v/>
      </c>
      <c r="J10" s="26" t="inlineStr">
        <is>
          <t>💸 Gasto</t>
        </is>
      </c>
    </row>
    <row r="11" ht="18" customHeight="1">
      <c r="A11" s="23" t="inlineStr">
        <is>
          <t>06/03/2026</t>
        </is>
      </c>
      <c r="B11" s="7" t="inlineStr">
        <is>
          <t>Gasto</t>
        </is>
      </c>
      <c r="C11" s="8" t="inlineStr">
        <is>
          <t>Alimentación</t>
        </is>
      </c>
      <c r="D11" s="8" t="inlineStr">
        <is>
          <t>Restaurante La Mar</t>
        </is>
      </c>
      <c r="E11" s="24" t="inlineStr">
        <is>
          <t>PEN</t>
        </is>
      </c>
      <c r="F11" s="25" t="n">
        <v>120</v>
      </c>
      <c r="G11" s="19">
        <f>Config!$C$4</f>
        <v/>
      </c>
      <c r="H11" s="20">
        <f>IF(E11="PEN",F11,F11*G11)</f>
        <v/>
      </c>
      <c r="I11" s="21">
        <f>IF(E11="USD",F11,F11/G11)</f>
        <v/>
      </c>
      <c r="J11" s="26" t="inlineStr">
        <is>
          <t>💸 Gasto</t>
        </is>
      </c>
    </row>
    <row r="12" ht="18" customHeight="1">
      <c r="A12" s="16" t="inlineStr">
        <is>
          <t>07/03/2026</t>
        </is>
      </c>
      <c r="B12" s="4" t="inlineStr">
        <is>
          <t>Ahorro</t>
        </is>
      </c>
      <c r="C12" s="5" t="inlineStr">
        <is>
          <t>Ahorro metas</t>
        </is>
      </c>
      <c r="D12" s="5" t="inlineStr">
        <is>
          <t>Depósito BCP Ahorro</t>
        </is>
      </c>
      <c r="E12" s="17" t="inlineStr">
        <is>
          <t>PEN</t>
        </is>
      </c>
      <c r="F12" s="18" t="n">
        <v>500</v>
      </c>
      <c r="G12" s="19">
        <f>Config!$C$4</f>
        <v/>
      </c>
      <c r="H12" s="20">
        <f>IF(E12="PEN",F12,F12*G12)</f>
        <v/>
      </c>
      <c r="I12" s="21">
        <f>IF(E12="USD",F12,F12/G12)</f>
        <v/>
      </c>
      <c r="J12" s="27" t="inlineStr">
        <is>
          <t>💰 Ahorro</t>
        </is>
      </c>
    </row>
    <row r="13" ht="18" customHeight="1">
      <c r="A13" s="23" t="inlineStr">
        <is>
          <t>08/03/2026</t>
        </is>
      </c>
      <c r="B13" s="7" t="inlineStr">
        <is>
          <t>Gasto</t>
        </is>
      </c>
      <c r="C13" s="8" t="inlineStr">
        <is>
          <t>Salud</t>
        </is>
      </c>
      <c r="D13" s="8" t="inlineStr">
        <is>
          <t>Consulta médica</t>
        </is>
      </c>
      <c r="E13" s="24" t="inlineStr">
        <is>
          <t>PEN</t>
        </is>
      </c>
      <c r="F13" s="25" t="n">
        <v>80</v>
      </c>
      <c r="G13" s="19">
        <f>Config!$C$4</f>
        <v/>
      </c>
      <c r="H13" s="20">
        <f>IF(E13="PEN",F13,F13*G13)</f>
        <v/>
      </c>
      <c r="I13" s="21">
        <f>IF(E13="USD",F13,F13/G13)</f>
        <v/>
      </c>
      <c r="J13" s="26" t="inlineStr">
        <is>
          <t>💸 Gasto</t>
        </is>
      </c>
    </row>
    <row r="14" ht="18" customHeight="1">
      <c r="A14" s="16" t="inlineStr">
        <is>
          <t>09/03/2026</t>
        </is>
      </c>
      <c r="B14" s="4" t="inlineStr">
        <is>
          <t>Gasto</t>
        </is>
      </c>
      <c r="C14" s="5" t="inlineStr">
        <is>
          <t>Ropa</t>
        </is>
      </c>
      <c r="D14" s="5" t="inlineStr">
        <is>
          <t>Zapatillas Adidas</t>
        </is>
      </c>
      <c r="E14" s="17" t="inlineStr">
        <is>
          <t>USD</t>
        </is>
      </c>
      <c r="F14" s="18" t="n">
        <v>75</v>
      </c>
      <c r="G14" s="19">
        <f>Config!$C$4</f>
        <v/>
      </c>
      <c r="H14" s="20">
        <f>IF(E14="PEN",F14,F14*G14)</f>
        <v/>
      </c>
      <c r="I14" s="21">
        <f>IF(E14="USD",F14,F14/G14)</f>
        <v/>
      </c>
      <c r="J14" s="26" t="inlineStr">
        <is>
          <t>💸 Gasto</t>
        </is>
      </c>
    </row>
    <row r="15" ht="18" customHeight="1">
      <c r="A15" s="23" t="inlineStr">
        <is>
          <t>10/03/2026</t>
        </is>
      </c>
      <c r="B15" s="7" t="inlineStr">
        <is>
          <t>Gasto</t>
        </is>
      </c>
      <c r="C15" s="8" t="inlineStr">
        <is>
          <t>Educación</t>
        </is>
      </c>
      <c r="D15" s="8" t="inlineStr">
        <is>
          <t>Curso Udemy</t>
        </is>
      </c>
      <c r="E15" s="24" t="inlineStr">
        <is>
          <t>USD</t>
        </is>
      </c>
      <c r="F15" s="25" t="n">
        <v>15</v>
      </c>
      <c r="G15" s="19">
        <f>Config!$C$4</f>
        <v/>
      </c>
      <c r="H15" s="20">
        <f>IF(E15="PEN",F15,F15*G15)</f>
        <v/>
      </c>
      <c r="I15" s="21">
        <f>IF(E15="USD",F15,F15/G15)</f>
        <v/>
      </c>
      <c r="J15" s="26" t="inlineStr">
        <is>
          <t>💸 Gasto</t>
        </is>
      </c>
    </row>
    <row r="16" ht="18" customHeight="1">
      <c r="A16" s="16" t="inlineStr">
        <is>
          <t>11/03/2026</t>
        </is>
      </c>
      <c r="B16" s="4" t="inlineStr">
        <is>
          <t>Gasto</t>
        </is>
      </c>
      <c r="C16" s="5" t="inlineStr">
        <is>
          <t>Alimentación</t>
        </is>
      </c>
      <c r="D16" s="5" t="inlineStr">
        <is>
          <t>Bodega + mercado</t>
        </is>
      </c>
      <c r="E16" s="17" t="inlineStr">
        <is>
          <t>PEN</t>
        </is>
      </c>
      <c r="F16" s="18" t="n">
        <v>95</v>
      </c>
      <c r="G16" s="19">
        <f>Config!$C$4</f>
        <v/>
      </c>
      <c r="H16" s="20">
        <f>IF(E16="PEN",F16,F16*G16)</f>
        <v/>
      </c>
      <c r="I16" s="21">
        <f>IF(E16="USD",F16,F16/G16)</f>
        <v/>
      </c>
      <c r="J16" s="26" t="inlineStr">
        <is>
          <t>💸 Gasto</t>
        </is>
      </c>
    </row>
    <row r="17" ht="18" customHeight="1">
      <c r="A17" s="23" t="inlineStr">
        <is>
          <t>12/03/2026</t>
        </is>
      </c>
      <c r="B17" s="7" t="inlineStr">
        <is>
          <t>Gasto</t>
        </is>
      </c>
      <c r="C17" s="8" t="inlineStr">
        <is>
          <t>Transporte</t>
        </is>
      </c>
      <c r="D17" s="8" t="inlineStr">
        <is>
          <t>Uber semanal</t>
        </is>
      </c>
      <c r="E17" s="24" t="inlineStr">
        <is>
          <t>PEN</t>
        </is>
      </c>
      <c r="F17" s="25" t="n">
        <v>55</v>
      </c>
      <c r="G17" s="19">
        <f>Config!$C$4</f>
        <v/>
      </c>
      <c r="H17" s="20">
        <f>IF(E17="PEN",F17,F17*G17)</f>
        <v/>
      </c>
      <c r="I17" s="21">
        <f>IF(E17="USD",F17,F17/G17)</f>
        <v/>
      </c>
      <c r="J17" s="26" t="inlineStr">
        <is>
          <t>💸 Gasto</t>
        </is>
      </c>
    </row>
    <row r="18" ht="18" customHeight="1">
      <c r="A18" s="16" t="inlineStr">
        <is>
          <t>13/03/2026</t>
        </is>
      </c>
      <c r="B18" s="4" t="inlineStr">
        <is>
          <t>Ingreso</t>
        </is>
      </c>
      <c r="C18" s="5" t="inlineStr">
        <is>
          <t>Alquiler</t>
        </is>
      </c>
      <c r="D18" s="5" t="inlineStr">
        <is>
          <t>Cuarto alquilado</t>
        </is>
      </c>
      <c r="E18" s="17" t="inlineStr">
        <is>
          <t>PEN</t>
        </is>
      </c>
      <c r="F18" s="18" t="n">
        <v>600</v>
      </c>
      <c r="G18" s="19">
        <f>Config!$C$4</f>
        <v/>
      </c>
      <c r="H18" s="20">
        <f>IF(E18="PEN",F18,F18*G18)</f>
        <v/>
      </c>
      <c r="I18" s="21">
        <f>IF(E18="USD",F18,F18/G18)</f>
        <v/>
      </c>
      <c r="J18" s="22" t="inlineStr">
        <is>
          <t>✅ Ingreso</t>
        </is>
      </c>
    </row>
    <row r="19" ht="18" customHeight="1">
      <c r="A19" s="23" t="inlineStr">
        <is>
          <t>14/03/2026</t>
        </is>
      </c>
      <c r="B19" s="7" t="inlineStr">
        <is>
          <t>Gasto</t>
        </is>
      </c>
      <c r="C19" s="8" t="inlineStr">
        <is>
          <t>Hogar</t>
        </is>
      </c>
      <c r="D19" s="8" t="inlineStr">
        <is>
          <t>Gas doméstico</t>
        </is>
      </c>
      <c r="E19" s="24" t="inlineStr">
        <is>
          <t>PEN</t>
        </is>
      </c>
      <c r="F19" s="25" t="n">
        <v>42</v>
      </c>
      <c r="G19" s="19">
        <f>Config!$C$4</f>
        <v/>
      </c>
      <c r="H19" s="20">
        <f>IF(E19="PEN",F19,F19*G19)</f>
        <v/>
      </c>
      <c r="I19" s="21">
        <f>IF(E19="USD",F19,F19/G19)</f>
        <v/>
      </c>
      <c r="J19" s="26" t="inlineStr">
        <is>
          <t>💸 Gasto</t>
        </is>
      </c>
    </row>
    <row r="20" ht="18" customHeight="1">
      <c r="A20" s="16" t="inlineStr">
        <is>
          <t>15/03/2026</t>
        </is>
      </c>
      <c r="B20" s="4" t="inlineStr">
        <is>
          <t>Gasto</t>
        </is>
      </c>
      <c r="C20" s="5" t="inlineStr">
        <is>
          <t>Salud</t>
        </is>
      </c>
      <c r="D20" s="5" t="inlineStr">
        <is>
          <t>Farmacia</t>
        </is>
      </c>
      <c r="E20" s="17" t="inlineStr">
        <is>
          <t>PEN</t>
        </is>
      </c>
      <c r="F20" s="18" t="n">
        <v>38</v>
      </c>
      <c r="G20" s="19">
        <f>Config!$C$4</f>
        <v/>
      </c>
      <c r="H20" s="20">
        <f>IF(E20="PEN",F20,F20*G20)</f>
        <v/>
      </c>
      <c r="I20" s="21">
        <f>IF(E20="USD",F20,F20/G20)</f>
        <v/>
      </c>
      <c r="J20" s="26" t="inlineStr">
        <is>
          <t>💸 Gasto</t>
        </is>
      </c>
    </row>
    <row r="21" ht="18" customHeight="1">
      <c r="A21" s="23" t="inlineStr">
        <is>
          <t>16/03/2026</t>
        </is>
      </c>
      <c r="B21" s="7" t="inlineStr">
        <is>
          <t>Gasto</t>
        </is>
      </c>
      <c r="C21" s="8" t="inlineStr">
        <is>
          <t>Alimentación</t>
        </is>
      </c>
      <c r="D21" s="8" t="inlineStr">
        <is>
          <t>Domicilio Rappi</t>
        </is>
      </c>
      <c r="E21" s="24" t="inlineStr">
        <is>
          <t>PEN</t>
        </is>
      </c>
      <c r="F21" s="25" t="n">
        <v>55</v>
      </c>
      <c r="G21" s="19">
        <f>Config!$C$4</f>
        <v/>
      </c>
      <c r="H21" s="20">
        <f>IF(E21="PEN",F21,F21*G21)</f>
        <v/>
      </c>
      <c r="I21" s="21">
        <f>IF(E21="USD",F21,F21/G21)</f>
        <v/>
      </c>
      <c r="J21" s="26" t="inlineStr">
        <is>
          <t>💸 Gasto</t>
        </is>
      </c>
    </row>
    <row r="22" ht="18" customHeight="1">
      <c r="A22" s="16" t="inlineStr">
        <is>
          <t>17/03/2026</t>
        </is>
      </c>
      <c r="B22" s="4" t="inlineStr">
        <is>
          <t>Gasto</t>
        </is>
      </c>
      <c r="C22" s="5" t="inlineStr">
        <is>
          <t>Entretenimiento</t>
        </is>
      </c>
      <c r="D22" s="5" t="inlineStr">
        <is>
          <t>Cine UVK</t>
        </is>
      </c>
      <c r="E22" s="17" t="inlineStr">
        <is>
          <t>PEN</t>
        </is>
      </c>
      <c r="F22" s="18" t="n">
        <v>48</v>
      </c>
      <c r="G22" s="19">
        <f>Config!$C$4</f>
        <v/>
      </c>
      <c r="H22" s="20">
        <f>IF(E22="PEN",F22,F22*G22)</f>
        <v/>
      </c>
      <c r="I22" s="21">
        <f>IF(E22="USD",F22,F22/G22)</f>
        <v/>
      </c>
      <c r="J22" s="26" t="inlineStr">
        <is>
          <t>💸 Gasto</t>
        </is>
      </c>
    </row>
    <row r="23" ht="18" customHeight="1">
      <c r="A23" s="23" t="inlineStr">
        <is>
          <t>18/03/2026</t>
        </is>
      </c>
      <c r="B23" s="7" t="inlineStr">
        <is>
          <t>Gasto</t>
        </is>
      </c>
      <c r="C23" s="8" t="inlineStr">
        <is>
          <t>Educación</t>
        </is>
      </c>
      <c r="D23" s="8" t="inlineStr">
        <is>
          <t>Libros universitarios</t>
        </is>
      </c>
      <c r="E23" s="24" t="inlineStr">
        <is>
          <t>PEN</t>
        </is>
      </c>
      <c r="F23" s="25" t="n">
        <v>75</v>
      </c>
      <c r="G23" s="19">
        <f>Config!$C$4</f>
        <v/>
      </c>
      <c r="H23" s="20">
        <f>IF(E23="PEN",F23,F23*G23)</f>
        <v/>
      </c>
      <c r="I23" s="21">
        <f>IF(E23="USD",F23,F23/G23)</f>
        <v/>
      </c>
      <c r="J23" s="26" t="inlineStr">
        <is>
          <t>💸 Gasto</t>
        </is>
      </c>
    </row>
    <row r="24" ht="18" customHeight="1">
      <c r="A24" s="16" t="inlineStr">
        <is>
          <t>19/03/2026</t>
        </is>
      </c>
      <c r="B24" s="4" t="inlineStr">
        <is>
          <t>Inversión</t>
        </is>
      </c>
      <c r="C24" s="5" t="inlineStr">
        <is>
          <t>Fondo Mutuo</t>
        </is>
      </c>
      <c r="D24" s="5" t="inlineStr">
        <is>
          <t>FONDO SURA renta fija</t>
        </is>
      </c>
      <c r="E24" s="17" t="inlineStr">
        <is>
          <t>USD</t>
        </is>
      </c>
      <c r="F24" s="18" t="n">
        <v>100</v>
      </c>
      <c r="G24" s="19">
        <f>Config!$C$4</f>
        <v/>
      </c>
      <c r="H24" s="20">
        <f>IF(E24="PEN",F24,F24*G24)</f>
        <v/>
      </c>
      <c r="I24" s="21">
        <f>IF(E24="USD",F24,F24/G24)</f>
        <v/>
      </c>
      <c r="J24" s="28" t="inlineStr">
        <is>
          <t>📈 Inversión</t>
        </is>
      </c>
    </row>
    <row r="25" ht="18" customHeight="1">
      <c r="A25" s="23" t="inlineStr">
        <is>
          <t>20/03/2026</t>
        </is>
      </c>
      <c r="B25" s="7" t="inlineStr">
        <is>
          <t>Gasto</t>
        </is>
      </c>
      <c r="C25" s="8" t="inlineStr">
        <is>
          <t>Servicios</t>
        </is>
      </c>
      <c r="D25" s="8" t="inlineStr">
        <is>
          <t>Internet Claro</t>
        </is>
      </c>
      <c r="E25" s="24" t="inlineStr">
        <is>
          <t>PEN</t>
        </is>
      </c>
      <c r="F25" s="25" t="n">
        <v>89</v>
      </c>
      <c r="G25" s="19">
        <f>Config!$C$4</f>
        <v/>
      </c>
      <c r="H25" s="20">
        <f>IF(E25="PEN",F25,F25*G25)</f>
        <v/>
      </c>
      <c r="I25" s="21">
        <f>IF(E25="USD",F25,F25/G25)</f>
        <v/>
      </c>
      <c r="J25" s="26" t="inlineStr">
        <is>
          <t>💸 Gasto</t>
        </is>
      </c>
    </row>
    <row r="26" ht="18" customHeight="1">
      <c r="A26" s="16" t="inlineStr">
        <is>
          <t>21/03/2026</t>
        </is>
      </c>
      <c r="B26" s="4" t="inlineStr">
        <is>
          <t>Gasto</t>
        </is>
      </c>
      <c r="C26" s="5" t="inlineStr">
        <is>
          <t>Alimentación</t>
        </is>
      </c>
      <c r="D26" s="5" t="inlineStr">
        <is>
          <t>Supermercado Plaza Vea</t>
        </is>
      </c>
      <c r="E26" s="17" t="inlineStr">
        <is>
          <t>PEN</t>
        </is>
      </c>
      <c r="F26" s="18" t="n">
        <v>195</v>
      </c>
      <c r="G26" s="19">
        <f>Config!$C$4</f>
        <v/>
      </c>
      <c r="H26" s="20">
        <f>IF(E26="PEN",F26,F26*G26)</f>
        <v/>
      </c>
      <c r="I26" s="21">
        <f>IF(E26="USD",F26,F26/G26)</f>
        <v/>
      </c>
      <c r="J26" s="26" t="inlineStr">
        <is>
          <t>💸 Gasto</t>
        </is>
      </c>
    </row>
    <row r="27" ht="18" customHeight="1">
      <c r="A27" s="23" t="inlineStr">
        <is>
          <t>22/03/2026</t>
        </is>
      </c>
      <c r="B27" s="7" t="inlineStr">
        <is>
          <t>Gasto</t>
        </is>
      </c>
      <c r="C27" s="8" t="inlineStr">
        <is>
          <t>Transporte</t>
        </is>
      </c>
      <c r="D27" s="8" t="inlineStr">
        <is>
          <t>Peaje autopista</t>
        </is>
      </c>
      <c r="E27" s="24" t="inlineStr">
        <is>
          <t>PEN</t>
        </is>
      </c>
      <c r="F27" s="25" t="n">
        <v>20</v>
      </c>
      <c r="G27" s="19">
        <f>Config!$C$4</f>
        <v/>
      </c>
      <c r="H27" s="20">
        <f>IF(E27="PEN",F27,F27*G27)</f>
        <v/>
      </c>
      <c r="I27" s="21">
        <f>IF(E27="USD",F27,F27/G27)</f>
        <v/>
      </c>
      <c r="J27" s="26" t="inlineStr">
        <is>
          <t>💸 Gasto</t>
        </is>
      </c>
    </row>
    <row r="28" ht="18" customHeight="1">
      <c r="A28" s="16" t="inlineStr">
        <is>
          <t>23/03/2026</t>
        </is>
      </c>
      <c r="B28" s="4" t="inlineStr">
        <is>
          <t>Gasto</t>
        </is>
      </c>
      <c r="C28" s="5" t="inlineStr">
        <is>
          <t>Ropa</t>
        </is>
      </c>
      <c r="D28" s="5" t="inlineStr">
        <is>
          <t>Camisa polo</t>
        </is>
      </c>
      <c r="E28" s="17" t="inlineStr">
        <is>
          <t>PEN</t>
        </is>
      </c>
      <c r="F28" s="18" t="n">
        <v>65</v>
      </c>
      <c r="G28" s="19">
        <f>Config!$C$4</f>
        <v/>
      </c>
      <c r="H28" s="20">
        <f>IF(E28="PEN",F28,F28*G28)</f>
        <v/>
      </c>
      <c r="I28" s="21">
        <f>IF(E28="USD",F28,F28/G28)</f>
        <v/>
      </c>
      <c r="J28" s="26" t="inlineStr">
        <is>
          <t>💸 Gasto</t>
        </is>
      </c>
    </row>
    <row r="29" ht="18" customHeight="1">
      <c r="A29" s="23" t="inlineStr">
        <is>
          <t>24/03/2026</t>
        </is>
      </c>
      <c r="B29" s="7" t="inlineStr">
        <is>
          <t>Gasto</t>
        </is>
      </c>
      <c r="C29" s="8" t="inlineStr">
        <is>
          <t>Hogar</t>
        </is>
      </c>
      <c r="D29" s="8" t="inlineStr">
        <is>
          <t>Artículos limpieza</t>
        </is>
      </c>
      <c r="E29" s="24" t="inlineStr">
        <is>
          <t>PEN</t>
        </is>
      </c>
      <c r="F29" s="25" t="n">
        <v>45</v>
      </c>
      <c r="G29" s="19">
        <f>Config!$C$4</f>
        <v/>
      </c>
      <c r="H29" s="20">
        <f>IF(E29="PEN",F29,F29*G29)</f>
        <v/>
      </c>
      <c r="I29" s="21">
        <f>IF(E29="USD",F29,F29/G29)</f>
        <v/>
      </c>
      <c r="J29" s="26" t="inlineStr">
        <is>
          <t>💸 Gasto</t>
        </is>
      </c>
    </row>
    <row r="30" ht="18" customHeight="1">
      <c r="A30" s="16" t="inlineStr">
        <is>
          <t>25/03/2026</t>
        </is>
      </c>
      <c r="B30" s="4" t="inlineStr">
        <is>
          <t>Gasto</t>
        </is>
      </c>
      <c r="C30" s="5" t="inlineStr">
        <is>
          <t>Salud</t>
        </is>
      </c>
      <c r="D30" s="5" t="inlineStr">
        <is>
          <t>Gimnasio Smart Fit</t>
        </is>
      </c>
      <c r="E30" s="17" t="inlineStr">
        <is>
          <t>PEN</t>
        </is>
      </c>
      <c r="F30" s="18" t="n">
        <v>100</v>
      </c>
      <c r="G30" s="19">
        <f>Config!$C$4</f>
        <v/>
      </c>
      <c r="H30" s="20">
        <f>IF(E30="PEN",F30,F30*G30)</f>
        <v/>
      </c>
      <c r="I30" s="21">
        <f>IF(E30="USD",F30,F30/G30)</f>
        <v/>
      </c>
      <c r="J30" s="26" t="inlineStr">
        <is>
          <t>💸 Gasto</t>
        </is>
      </c>
    </row>
    <row r="31" ht="18" customHeight="1">
      <c r="A31" s="23" t="inlineStr">
        <is>
          <t>26/03/2026</t>
        </is>
      </c>
      <c r="B31" s="7" t="inlineStr">
        <is>
          <t>Gasto</t>
        </is>
      </c>
      <c r="C31" s="8" t="inlineStr">
        <is>
          <t>Entretenimiento</t>
        </is>
      </c>
      <c r="D31" s="8" t="inlineStr">
        <is>
          <t>Concierto tributo</t>
        </is>
      </c>
      <c r="E31" s="24" t="inlineStr">
        <is>
          <t>PEN</t>
        </is>
      </c>
      <c r="F31" s="25" t="n">
        <v>80</v>
      </c>
      <c r="G31" s="19">
        <f>Config!$C$4</f>
        <v/>
      </c>
      <c r="H31" s="20">
        <f>IF(E31="PEN",F31,F31*G31)</f>
        <v/>
      </c>
      <c r="I31" s="21">
        <f>IF(E31="USD",F31,F31/G31)</f>
        <v/>
      </c>
      <c r="J31" s="26" t="inlineStr">
        <is>
          <t>💸 Gasto</t>
        </is>
      </c>
    </row>
    <row r="32" ht="18" customHeight="1">
      <c r="A32" s="16" t="inlineStr">
        <is>
          <t>27/03/2026</t>
        </is>
      </c>
      <c r="B32" s="4" t="inlineStr">
        <is>
          <t>Gasto</t>
        </is>
      </c>
      <c r="C32" s="5" t="inlineStr">
        <is>
          <t>Alimentación</t>
        </is>
      </c>
      <c r="D32" s="5" t="inlineStr">
        <is>
          <t>Cafetería trabajo</t>
        </is>
      </c>
      <c r="E32" s="17" t="inlineStr">
        <is>
          <t>PEN</t>
        </is>
      </c>
      <c r="F32" s="18" t="n">
        <v>70</v>
      </c>
      <c r="G32" s="19">
        <f>Config!$C$4</f>
        <v/>
      </c>
      <c r="H32" s="20">
        <f>IF(E32="PEN",F32,F32*G32)</f>
        <v/>
      </c>
      <c r="I32" s="21">
        <f>IF(E32="USD",F32,F32/G32)</f>
        <v/>
      </c>
      <c r="J32" s="26" t="inlineStr">
        <is>
          <t>💸 Gasto</t>
        </is>
      </c>
    </row>
    <row r="33" ht="18" customHeight="1">
      <c r="A33" s="23" t="inlineStr">
        <is>
          <t>28/03/2026</t>
        </is>
      </c>
      <c r="B33" s="7" t="inlineStr">
        <is>
          <t>Ingreso</t>
        </is>
      </c>
      <c r="C33" s="8" t="inlineStr">
        <is>
          <t>Freelance</t>
        </is>
      </c>
      <c r="D33" s="8" t="inlineStr">
        <is>
          <t>Diseño logo cliente</t>
        </is>
      </c>
      <c r="E33" s="24" t="inlineStr">
        <is>
          <t>USD</t>
        </is>
      </c>
      <c r="F33" s="25" t="n">
        <v>120</v>
      </c>
      <c r="G33" s="19">
        <f>Config!$C$4</f>
        <v/>
      </c>
      <c r="H33" s="20">
        <f>IF(E33="PEN",F33,F33*G33)</f>
        <v/>
      </c>
      <c r="I33" s="21">
        <f>IF(E33="USD",F33,F33/G33)</f>
        <v/>
      </c>
      <c r="J33" s="22" t="inlineStr">
        <is>
          <t>✅ Ingreso</t>
        </is>
      </c>
    </row>
    <row r="34" ht="24" customHeight="1">
      <c r="A34" s="29" t="inlineStr">
        <is>
          <t>TOTALES DEL MES</t>
        </is>
      </c>
      <c r="F34" s="30">
        <f>SUM(F4:F33)</f>
        <v/>
      </c>
      <c r="G34" s="31" t="n"/>
      <c r="H34" s="32">
        <f>SUM(H4:H33)</f>
        <v/>
      </c>
      <c r="I34" s="33">
        <f>SUM(I4:I33)</f>
        <v/>
      </c>
      <c r="J34" s="31" t="n"/>
    </row>
    <row r="35" ht="20" customHeight="1">
      <c r="A35" s="34" t="inlineStr">
        <is>
          <t>➕  Agrega nuevas transacciones aquí abajo  ·  Los dropdowns y fórmulas están listos hasta la fila 500</t>
        </is>
      </c>
    </row>
  </sheetData>
  <mergeCells count="4">
    <mergeCell ref="A1:J1"/>
    <mergeCell ref="A35:J35"/>
    <mergeCell ref="A34:E34"/>
    <mergeCell ref="A2:J2"/>
  </mergeCells>
  <dataValidations count="5">
    <dataValidation sqref="A4:A500" showDropDown="0" showInputMessage="0" showErrorMessage="1" allowBlank="1" errorTitle="Fecha inválida" error="Ingresa una fecha válida (dd/mm/aaaa)" type="date" operator="between">
      <formula1>DATE(2020,1,1)</formula1>
      <formula2>DATE(2035,12,31)</formula2>
    </dataValidation>
    <dataValidation sqref="B4:B500" showDropDown="0" showInputMessage="0" showErrorMessage="1" allowBlank="1" errorTitle="Tipo inválido" error="Elige: Ingreso, Gasto, Ahorro o Inversión" type="list">
      <formula1>ListaTipos</formula1>
    </dataValidation>
    <dataValidation sqref="C4:C500" showDropDown="0" showInputMessage="1" showErrorMessage="0" allowBlank="1" promptTitle="Categoría" prompt="Primero selecciona el Tipo (columna B) para ver las categorías disponibles" type="list">
      <formula1>INDIRECT(SUBSTITUTE(B4," ","_"))</formula1>
    </dataValidation>
    <dataValidation sqref="E4:E500" showDropDown="0" showInputMessage="0" showErrorMessage="1" allowBlank="1" errorTitle="Moneda inválida" error="Elige PEN (Soles) o USD (Dólares)" type="list">
      <formula1>ListaMonedas</formula1>
    </dataValidation>
    <dataValidation sqref="F4:F500" showDropDown="0" showInputMessage="0" showErrorMessage="1" allowBlank="1" errorTitle="Importe inválido" error="El importe debe ser un número mayor a 0" type="decimal" operator="greaterThan">
      <formula1>0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13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6" customWidth="1" min="2" max="2"/>
    <col width="14" customWidth="1" min="3" max="3"/>
    <col width="16" customWidth="1" min="4" max="4"/>
    <col width="14" customWidth="1" min="5" max="5"/>
    <col width="10" customWidth="1" min="6" max="6"/>
    <col width="16" customWidth="1" min="7" max="7"/>
  </cols>
  <sheetData>
    <row r="1" ht="38" customHeight="1">
      <c r="A1" s="35" t="inlineStr">
        <is>
          <t>📊  PRESUPUESTO VS REAL  |  MARZO 2026</t>
        </is>
      </c>
    </row>
    <row r="3" ht="26" customHeight="1">
      <c r="A3" s="36" t="inlineStr">
        <is>
          <t>Categoría</t>
        </is>
      </c>
      <c r="B3" s="36" t="inlineStr">
        <is>
          <t>Presup. (S/.)</t>
        </is>
      </c>
      <c r="C3" s="36" t="inlineStr">
        <is>
          <t>Presup. (USD)</t>
        </is>
      </c>
      <c r="D3" s="36" t="inlineStr">
        <is>
          <t>Real (S/.)</t>
        </is>
      </c>
      <c r="E3" s="36" t="inlineStr">
        <is>
          <t>Real (USD)</t>
        </is>
      </c>
      <c r="F3" s="36" t="inlineStr">
        <is>
          <t>% Usado</t>
        </is>
      </c>
      <c r="G3" s="36" t="inlineStr">
        <is>
          <t>Estado</t>
        </is>
      </c>
    </row>
    <row r="4" ht="20" customHeight="1">
      <c r="A4" s="5" t="inlineStr">
        <is>
          <t>🛒 Alimentación</t>
        </is>
      </c>
      <c r="B4" s="6" t="n">
        <v>918.75</v>
      </c>
      <c r="C4" s="10" t="n">
        <v>245</v>
      </c>
      <c r="D4" s="6" t="n">
        <v>815</v>
      </c>
      <c r="E4" s="10" t="n">
        <v>217.3333333333333</v>
      </c>
      <c r="F4" s="37" t="n">
        <v>0.8870748299319728</v>
      </c>
      <c r="G4" s="27" t="inlineStr">
        <is>
          <t>🔶 En límite</t>
        </is>
      </c>
    </row>
    <row r="5" ht="20" customHeight="1">
      <c r="A5" s="8" t="inlineStr">
        <is>
          <t>🚗 Transporte</t>
        </is>
      </c>
      <c r="B5" s="38" t="n">
        <v>250</v>
      </c>
      <c r="C5" s="39" t="n">
        <v>66.66666666666667</v>
      </c>
      <c r="D5" s="38" t="n">
        <v>165</v>
      </c>
      <c r="E5" s="39" t="n">
        <v>44</v>
      </c>
      <c r="F5" s="40" t="n">
        <v>0.66</v>
      </c>
      <c r="G5" s="22" t="inlineStr">
        <is>
          <t>✅ OK</t>
        </is>
      </c>
    </row>
    <row r="6" ht="20" customHeight="1">
      <c r="A6" s="5" t="inlineStr">
        <is>
          <t>⚡ Servicios</t>
        </is>
      </c>
      <c r="B6" s="6" t="n">
        <v>200</v>
      </c>
      <c r="C6" s="10" t="n">
        <v>53.33333333333334</v>
      </c>
      <c r="D6" s="6" t="n">
        <v>189</v>
      </c>
      <c r="E6" s="10" t="n">
        <v>50.4</v>
      </c>
      <c r="F6" s="37" t="n">
        <v>0.945</v>
      </c>
      <c r="G6" s="27" t="inlineStr">
        <is>
          <t>🔶 En límite</t>
        </is>
      </c>
    </row>
    <row r="7" ht="20" customHeight="1">
      <c r="A7" s="8" t="inlineStr">
        <is>
          <t>🎬 Entretenimiento</t>
        </is>
      </c>
      <c r="B7" s="38" t="n">
        <v>262.5</v>
      </c>
      <c r="C7" s="39" t="n">
        <v>70</v>
      </c>
      <c r="D7" s="38" t="n">
        <v>210.5</v>
      </c>
      <c r="E7" s="39" t="n">
        <v>56.13333333333333</v>
      </c>
      <c r="F7" s="40" t="n">
        <v>0.8019047619047619</v>
      </c>
      <c r="G7" s="22" t="inlineStr">
        <is>
          <t>✅ OK</t>
        </is>
      </c>
    </row>
    <row r="8" ht="20" customHeight="1">
      <c r="A8" s="5" t="inlineStr">
        <is>
          <t>💊 Salud</t>
        </is>
      </c>
      <c r="B8" s="6" t="n">
        <v>200</v>
      </c>
      <c r="C8" s="10" t="n">
        <v>53.33333333333334</v>
      </c>
      <c r="D8" s="6" t="n">
        <v>218</v>
      </c>
      <c r="E8" s="10" t="n">
        <v>58.13333333333333</v>
      </c>
      <c r="F8" s="37" t="n">
        <v>1.09</v>
      </c>
      <c r="G8" s="26" t="inlineStr">
        <is>
          <t>⚠️ Excedido</t>
        </is>
      </c>
    </row>
    <row r="9" ht="20" customHeight="1">
      <c r="A9" s="8" t="inlineStr">
        <is>
          <t>👕 Ropa</t>
        </is>
      </c>
      <c r="B9" s="38" t="n">
        <v>431.25</v>
      </c>
      <c r="C9" s="39" t="n">
        <v>115</v>
      </c>
      <c r="D9" s="38" t="n">
        <v>346.25</v>
      </c>
      <c r="E9" s="39" t="n">
        <v>92.33333333333333</v>
      </c>
      <c r="F9" s="40" t="n">
        <v>0.8028985507246377</v>
      </c>
      <c r="G9" s="22" t="inlineStr">
        <is>
          <t>✅ OK</t>
        </is>
      </c>
    </row>
    <row r="10" ht="20" customHeight="1">
      <c r="A10" s="5" t="inlineStr">
        <is>
          <t>📚 Educación</t>
        </is>
      </c>
      <c r="B10" s="6" t="n">
        <v>136.25</v>
      </c>
      <c r="C10" s="10" t="n">
        <v>36.33333333333334</v>
      </c>
      <c r="D10" s="6" t="n">
        <v>131.25</v>
      </c>
      <c r="E10" s="10" t="n">
        <v>35</v>
      </c>
      <c r="F10" s="37" t="n">
        <v>0.963302752293578</v>
      </c>
      <c r="G10" s="27" t="inlineStr">
        <is>
          <t>🔶 En límite</t>
        </is>
      </c>
    </row>
    <row r="11" ht="20" customHeight="1">
      <c r="A11" s="8" t="inlineStr">
        <is>
          <t>🏠 Hogar</t>
        </is>
      </c>
      <c r="B11" s="38" t="n">
        <v>120</v>
      </c>
      <c r="C11" s="39" t="n">
        <v>32</v>
      </c>
      <c r="D11" s="38" t="n">
        <v>87</v>
      </c>
      <c r="E11" s="39" t="n">
        <v>23.2</v>
      </c>
      <c r="F11" s="40" t="n">
        <v>0.725</v>
      </c>
      <c r="G11" s="22" t="inlineStr">
        <is>
          <t>✅ OK</t>
        </is>
      </c>
    </row>
    <row r="12" ht="20" customHeight="1">
      <c r="A12" s="5" t="inlineStr">
        <is>
          <t>💰 Ahorro</t>
        </is>
      </c>
      <c r="B12" s="6" t="n">
        <v>875</v>
      </c>
      <c r="C12" s="10" t="n">
        <v>233.3333333333333</v>
      </c>
      <c r="D12" s="6" t="n">
        <v>875</v>
      </c>
      <c r="E12" s="10" t="n">
        <v>233.3333333333333</v>
      </c>
      <c r="F12" s="37" t="n">
        <v>1</v>
      </c>
      <c r="G12" s="27" t="inlineStr">
        <is>
          <t>🔶 En límite</t>
        </is>
      </c>
    </row>
    <row r="13" ht="24" customHeight="1">
      <c r="A13" s="29" t="inlineStr">
        <is>
          <t>TOTAL</t>
        </is>
      </c>
      <c r="D13" s="32">
        <f>SUM(D4:D12)</f>
        <v/>
      </c>
      <c r="E13" s="33">
        <f>SUM(E4:E12)</f>
        <v/>
      </c>
    </row>
  </sheetData>
  <mergeCells count="2">
    <mergeCell ref="A13:C13"/>
    <mergeCell ref="A1:G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G10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8" customWidth="1" min="2" max="2"/>
    <col width="14" customWidth="1" min="3" max="3"/>
    <col width="14" customWidth="1" min="4" max="4"/>
    <col width="12" customWidth="1" min="5" max="5"/>
    <col width="12" customWidth="1" min="6" max="6"/>
    <col width="16" customWidth="1" min="7" max="7"/>
  </cols>
  <sheetData>
    <row r="1" ht="38" customHeight="1">
      <c r="A1" s="41" t="inlineStr">
        <is>
          <t>💰  AHORRO E INVERSIONES  |  BIMONEDA</t>
        </is>
      </c>
    </row>
    <row r="3" ht="24" customHeight="1">
      <c r="A3" s="36" t="inlineStr">
        <is>
          <t>Concepto</t>
        </is>
      </c>
      <c r="B3" s="36" t="inlineStr">
        <is>
          <t>Entidad</t>
        </is>
      </c>
      <c r="C3" s="36" t="inlineStr">
        <is>
          <t>Saldo (S/.)</t>
        </is>
      </c>
      <c r="D3" s="36" t="inlineStr">
        <is>
          <t>Saldo (USD)</t>
        </is>
      </c>
      <c r="E3" s="36" t="inlineStr">
        <is>
          <t>Rentab. %</t>
        </is>
      </c>
      <c r="F3" s="36" t="inlineStr">
        <is>
          <t>Plazo</t>
        </is>
      </c>
      <c r="G3" s="36" t="inlineStr">
        <is>
          <t>Tipo</t>
        </is>
      </c>
    </row>
    <row r="4" ht="20" customHeight="1">
      <c r="A4" s="5" t="inlineStr">
        <is>
          <t>🏦 Cuenta ahorro BCP</t>
        </is>
      </c>
      <c r="B4" s="5" t="inlineStr">
        <is>
          <t>BCP</t>
        </is>
      </c>
      <c r="C4" s="6" t="n">
        <v>4500</v>
      </c>
      <c r="D4" s="10" t="n">
        <v>1200</v>
      </c>
      <c r="E4" s="42" t="n">
        <v>0.035</v>
      </c>
      <c r="F4" s="4" t="inlineStr">
        <is>
          <t>Libre</t>
        </is>
      </c>
      <c r="G4" s="4" t="inlineStr">
        <is>
          <t>Ahorro</t>
        </is>
      </c>
    </row>
    <row r="5" ht="20" customHeight="1">
      <c r="A5" s="8" t="inlineStr">
        <is>
          <t>📄 CTS Interbank</t>
        </is>
      </c>
      <c r="B5" s="8" t="inlineStr">
        <is>
          <t>Interbank</t>
        </is>
      </c>
      <c r="C5" s="38" t="n">
        <v>2800</v>
      </c>
      <c r="D5" s="39" t="n">
        <v>746.67</v>
      </c>
      <c r="E5" s="43" t="n">
        <v>0.06</v>
      </c>
      <c r="F5" s="7" t="inlineStr">
        <is>
          <t>Anual</t>
        </is>
      </c>
      <c r="G5" s="7" t="inlineStr">
        <is>
          <t>CTS</t>
        </is>
      </c>
    </row>
    <row r="6" ht="20" customHeight="1">
      <c r="A6" s="5" t="inlineStr">
        <is>
          <t>📈 Fondo SURA RF</t>
        </is>
      </c>
      <c r="B6" s="5" t="inlineStr">
        <is>
          <t>SURA</t>
        </is>
      </c>
      <c r="C6" s="6" t="n">
        <v>875</v>
      </c>
      <c r="D6" s="10" t="n">
        <v>233.33</v>
      </c>
      <c r="E6" s="42" t="n">
        <v>0.082</v>
      </c>
      <c r="F6" s="4" t="inlineStr">
        <is>
          <t>5 años</t>
        </is>
      </c>
      <c r="G6" s="4" t="inlineStr">
        <is>
          <t>Fondo Mutuo</t>
        </is>
      </c>
    </row>
    <row r="7" ht="20" customHeight="1">
      <c r="A7" s="8" t="inlineStr">
        <is>
          <t>🏛 AFP Integra</t>
        </is>
      </c>
      <c r="B7" s="8" t="inlineStr">
        <is>
          <t>Integra</t>
        </is>
      </c>
      <c r="C7" s="38" t="n">
        <v>12500</v>
      </c>
      <c r="D7" s="39" t="n">
        <v>3333.33</v>
      </c>
      <c r="E7" s="43" t="n">
        <v>0.095</v>
      </c>
      <c r="F7" s="7" t="inlineStr">
        <is>
          <t>Jubil.</t>
        </is>
      </c>
      <c r="G7" s="7" t="inlineStr">
        <is>
          <t>AFP</t>
        </is>
      </c>
    </row>
    <row r="8" ht="20" customHeight="1">
      <c r="A8" s="5" t="inlineStr">
        <is>
          <t>🌎 ETF S&amp;P500</t>
        </is>
      </c>
      <c r="B8" s="5" t="inlineStr">
        <is>
          <t>Fintual</t>
        </is>
      </c>
      <c r="C8" s="6" t="n">
        <v>300</v>
      </c>
      <c r="D8" s="10" t="n">
        <v>80</v>
      </c>
      <c r="E8" s="42" t="n">
        <v>0.12</v>
      </c>
      <c r="F8" s="4" t="inlineStr">
        <is>
          <t>Largo</t>
        </is>
      </c>
      <c r="G8" s="4" t="inlineStr">
        <is>
          <t>Inversión</t>
        </is>
      </c>
    </row>
    <row r="9" ht="20" customHeight="1">
      <c r="A9" s="8" t="inlineStr">
        <is>
          <t>💵 Efectivo USD</t>
        </is>
      </c>
      <c r="B9" s="8" t="inlineStr">
        <is>
          <t>Personal</t>
        </is>
      </c>
      <c r="C9" s="38" t="n">
        <v>50</v>
      </c>
      <c r="D9" s="39" t="n">
        <v>200</v>
      </c>
      <c r="E9" s="43" t="n">
        <v>0</v>
      </c>
      <c r="F9" s="7" t="inlineStr">
        <is>
          <t>—</t>
        </is>
      </c>
      <c r="G9" s="7" t="inlineStr">
        <is>
          <t>Efectivo USD</t>
        </is>
      </c>
    </row>
    <row r="10" ht="24" customHeight="1">
      <c r="A10" s="29" t="inlineStr">
        <is>
          <t>TOTAL PATRIMONIO</t>
        </is>
      </c>
      <c r="C10" s="44">
        <f>SUM(C4:C9)</f>
        <v/>
      </c>
      <c r="D10" s="45">
        <f>SUM(D4:D9)</f>
        <v/>
      </c>
    </row>
  </sheetData>
  <mergeCells count="2">
    <mergeCell ref="A1:G1"/>
    <mergeCell ref="A10:B10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27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18" customWidth="1" min="3" max="3"/>
    <col width="16" customWidth="1" min="4" max="4"/>
    <col width="16" customWidth="1" min="5" max="5"/>
    <col width="3" customWidth="1" min="6" max="6"/>
    <col width="18" customWidth="1" min="7" max="7"/>
    <col width="16" customWidth="1" min="8" max="8"/>
    <col width="16" customWidth="1" min="9" max="9"/>
    <col width="3" customWidth="1" min="10" max="10"/>
  </cols>
  <sheetData>
    <row r="1" ht="44" customHeight="1">
      <c r="B1" s="46" t="inlineStr">
        <is>
          <t>🏠  FINANZPRO  |  DASHBOARD BIMONEDA</t>
        </is>
      </c>
    </row>
    <row r="2" ht="18" customHeight="1">
      <c r="B2" s="47" t="inlineStr">
        <is>
          <t>Tipo de cambio: S/. 3.75 por USD   ·   Mes: Marzo 2026   ·   Actualiza en hoja Config</t>
        </is>
      </c>
    </row>
    <row r="3" ht="22" customHeight="1"/>
    <row r="4" ht="20" customHeight="1">
      <c r="B4" s="22" t="inlineStr">
        <is>
          <t>💰 INGRESOS DEL MES</t>
        </is>
      </c>
      <c r="C4" s="48" t="n"/>
      <c r="E4" s="26" t="inlineStr">
        <is>
          <t>💸 GASTOS DEL MES</t>
        </is>
      </c>
      <c r="F4" s="48" t="n"/>
      <c r="H4" s="27" t="inlineStr">
        <is>
          <t>🏦 AHORRO DEL MES</t>
        </is>
      </c>
      <c r="I4" s="48" t="n"/>
    </row>
    <row r="5" ht="30" customHeight="1">
      <c r="B5" s="49" t="n">
        <v>5931.25</v>
      </c>
      <c r="C5" s="48" t="n"/>
      <c r="E5" s="50" t="n">
        <v>2604.5</v>
      </c>
      <c r="F5" s="48" t="n"/>
      <c r="H5" s="51" t="n">
        <v>875</v>
      </c>
      <c r="I5" s="48" t="n"/>
    </row>
    <row r="6" ht="26" customHeight="1">
      <c r="B6" s="52" t="n">
        <v>1581.67</v>
      </c>
      <c r="C6" s="48" t="n"/>
      <c r="E6" s="53" t="n">
        <v>694.53</v>
      </c>
      <c r="F6" s="48" t="n"/>
      <c r="H6" s="54" t="n">
        <v>233.33</v>
      </c>
      <c r="I6" s="48" t="n"/>
    </row>
    <row r="7" ht="10" customHeight="1">
      <c r="B7" s="55" t="n"/>
      <c r="C7" s="48" t="n"/>
      <c r="E7" s="56" t="n"/>
      <c r="F7" s="48" t="n"/>
      <c r="H7" s="57" t="n"/>
      <c r="I7" s="48" t="n"/>
    </row>
    <row r="8" ht="22" customHeight="1">
      <c r="B8" s="55" t="n"/>
      <c r="C8" s="48" t="n"/>
      <c r="E8" s="56" t="n"/>
      <c r="F8" s="48" t="n"/>
      <c r="H8" s="57" t="n"/>
      <c r="I8" s="48" t="n"/>
    </row>
    <row r="9" ht="10" customHeight="1"/>
    <row r="10" ht="28" customHeight="1">
      <c r="B10" s="58" t="inlineStr">
        <is>
          <t>BALANCE NETO:   S/. 3,326.75   |   USD 887.13   ·   Ahorro logrado: 56% del objetivo mensual</t>
        </is>
      </c>
    </row>
    <row r="11" ht="12" customHeight="1"/>
    <row r="12" ht="24" customHeight="1">
      <c r="B12" s="59" t="inlineStr">
        <is>
          <t>📌 GASTOS POR CATEGORÍA</t>
        </is>
      </c>
      <c r="G12" s="59" t="inlineStr">
        <is>
          <t>💱 CONVERSIÓN RÁPIDA  (TC: S/. 3.75)</t>
        </is>
      </c>
    </row>
    <row r="13" ht="22" customHeight="1">
      <c r="A13" s="60" t="inlineStr">
        <is>
          <t>USD →</t>
        </is>
      </c>
      <c r="B13" s="60">
        <f> S/.</f>
        <v/>
      </c>
      <c r="C13" s="60" t="inlineStr">
        <is>
          <t>S/. →</t>
        </is>
      </c>
      <c r="D13" s="60">
        <f> USD</f>
        <v/>
      </c>
    </row>
    <row r="14" ht="18" customHeight="1">
      <c r="B14" s="5" t="inlineStr">
        <is>
          <t>🛒 Alimentación</t>
        </is>
      </c>
      <c r="C14" s="6" t="n">
        <v>815</v>
      </c>
      <c r="D14" s="10" t="n">
        <v>217.3</v>
      </c>
      <c r="E14" s="42" t="n">
        <v>0.313</v>
      </c>
      <c r="G14" s="61" t="n">
        <v>1</v>
      </c>
      <c r="H14" s="62" t="n">
        <v>3.75</v>
      </c>
      <c r="I14" s="62" t="n">
        <v>10</v>
      </c>
      <c r="J14" s="61" t="n">
        <v>2.67</v>
      </c>
    </row>
    <row r="15" ht="18" customHeight="1">
      <c r="B15" s="8" t="inlineStr">
        <is>
          <t>🚗 Transporte</t>
        </is>
      </c>
      <c r="C15" s="38" t="n">
        <v>165</v>
      </c>
      <c r="D15" s="39" t="n">
        <v>44</v>
      </c>
      <c r="E15" s="43" t="n">
        <v>0.063</v>
      </c>
      <c r="G15" s="63" t="n">
        <v>5</v>
      </c>
      <c r="H15" s="64" t="n">
        <v>18.75</v>
      </c>
      <c r="I15" s="64" t="n">
        <v>50</v>
      </c>
      <c r="J15" s="63" t="n">
        <v>13.33</v>
      </c>
    </row>
    <row r="16" ht="18" customHeight="1">
      <c r="B16" s="5" t="inlineStr">
        <is>
          <t>⚡ Servicios</t>
        </is>
      </c>
      <c r="C16" s="6" t="n">
        <v>189</v>
      </c>
      <c r="D16" s="10" t="n">
        <v>50.4</v>
      </c>
      <c r="E16" s="42" t="n">
        <v>0.073</v>
      </c>
      <c r="G16" s="61" t="n">
        <v>10</v>
      </c>
      <c r="H16" s="62" t="n">
        <v>37.5</v>
      </c>
      <c r="I16" s="62" t="n">
        <v>100</v>
      </c>
      <c r="J16" s="61" t="n">
        <v>26.67</v>
      </c>
    </row>
    <row r="17" ht="18" customHeight="1">
      <c r="B17" s="8" t="inlineStr">
        <is>
          <t>🎬 Entretenimiento</t>
        </is>
      </c>
      <c r="C17" s="38" t="n">
        <v>210.5</v>
      </c>
      <c r="D17" s="39" t="n">
        <v>56.1</v>
      </c>
      <c r="E17" s="43" t="n">
        <v>0.081</v>
      </c>
      <c r="G17" s="63" t="n">
        <v>20</v>
      </c>
      <c r="H17" s="64" t="n">
        <v>75</v>
      </c>
      <c r="I17" s="64" t="n">
        <v>200</v>
      </c>
      <c r="J17" s="63" t="n">
        <v>53.33</v>
      </c>
    </row>
    <row r="18" ht="18" customHeight="1">
      <c r="B18" s="5" t="inlineStr">
        <is>
          <t>💊 Salud</t>
        </is>
      </c>
      <c r="C18" s="6" t="n">
        <v>218</v>
      </c>
      <c r="D18" s="10" t="n">
        <v>58.1</v>
      </c>
      <c r="E18" s="42" t="n">
        <v>0.08400000000000001</v>
      </c>
      <c r="G18" s="61" t="n">
        <v>50</v>
      </c>
      <c r="H18" s="62" t="n">
        <v>187.5</v>
      </c>
      <c r="I18" s="62" t="n">
        <v>500</v>
      </c>
      <c r="J18" s="61" t="n">
        <v>133.33</v>
      </c>
    </row>
    <row r="19" ht="18" customHeight="1">
      <c r="B19" s="8" t="inlineStr">
        <is>
          <t>👕 Ropa</t>
        </is>
      </c>
      <c r="C19" s="38" t="n">
        <v>346.25</v>
      </c>
      <c r="D19" s="39" t="n">
        <v>92.3</v>
      </c>
      <c r="E19" s="43" t="n">
        <v>0.133</v>
      </c>
      <c r="G19" s="63" t="n">
        <v>100</v>
      </c>
      <c r="H19" s="64" t="n">
        <v>375</v>
      </c>
      <c r="I19" s="64" t="n">
        <v>1000</v>
      </c>
      <c r="J19" s="63" t="n">
        <v>266.67</v>
      </c>
    </row>
    <row r="20" ht="18" customHeight="1">
      <c r="B20" s="5" t="inlineStr">
        <is>
          <t>📚 Educación</t>
        </is>
      </c>
      <c r="C20" s="6" t="n">
        <v>131.25</v>
      </c>
      <c r="D20" s="10" t="n">
        <v>35</v>
      </c>
      <c r="E20" s="42" t="n">
        <v>0.05</v>
      </c>
      <c r="G20" s="61" t="n">
        <v>200</v>
      </c>
      <c r="H20" s="62" t="n">
        <v>750</v>
      </c>
      <c r="I20" s="62" t="n">
        <v>2000</v>
      </c>
      <c r="J20" s="61" t="n">
        <v>533.33</v>
      </c>
    </row>
    <row r="21" ht="18" customHeight="1">
      <c r="B21" s="8" t="inlineStr">
        <is>
          <t>🏠 Hogar</t>
        </is>
      </c>
      <c r="C21" s="38" t="n">
        <v>87</v>
      </c>
      <c r="D21" s="39" t="n">
        <v>23.2</v>
      </c>
      <c r="E21" s="43" t="n">
        <v>0.033</v>
      </c>
      <c r="G21" s="63" t="n">
        <v>500</v>
      </c>
      <c r="H21" s="64" t="n">
        <v>1875</v>
      </c>
      <c r="I21" s="64" t="n">
        <v>5000</v>
      </c>
      <c r="J21" s="63" t="n">
        <v>1333.33</v>
      </c>
    </row>
    <row r="22" ht="18" customHeight="1">
      <c r="B22" s="5" t="inlineStr">
        <is>
          <t>💰 Ahorro</t>
        </is>
      </c>
      <c r="C22" s="6" t="n">
        <v>875</v>
      </c>
      <c r="D22" s="10" t="n">
        <v>233.3</v>
      </c>
      <c r="E22" s="42" t="n">
        <v>0.336</v>
      </c>
      <c r="G22" s="61" t="n">
        <v>1000</v>
      </c>
      <c r="H22" s="62" t="n">
        <v>3750</v>
      </c>
      <c r="I22" s="62" t="n">
        <v>10000</v>
      </c>
      <c r="J22" s="61" t="n">
        <v>2666.67</v>
      </c>
    </row>
    <row r="23" ht="22" customHeight="1"/>
    <row r="24" ht="12" customHeight="1"/>
    <row r="25" ht="22" customHeight="1">
      <c r="B25" s="65" t="inlineStr">
        <is>
          <t>🗑  LIMPIAR DATOS
Nuevo mes</t>
        </is>
      </c>
      <c r="E25" s="66" t="inlineStr">
        <is>
          <t>El botón Limpiar Datos se activa al guardar como .xlsm con el macro VBA incluido.
Si usas Excel escritorio: habilita macros al abrir el archivo.</t>
        </is>
      </c>
    </row>
    <row r="26" ht="22" customHeight="1"/>
    <row r="27" ht="22" customHeight="1"/>
    <row r="28" ht="22" customHeight="1"/>
    <row r="29" ht="22" customHeight="1"/>
    <row r="30" ht="22" customHeight="1"/>
    <row r="31" ht="22" customHeight="1"/>
    <row r="32" ht="22" customHeight="1"/>
    <row r="33" ht="22" customHeight="1"/>
    <row r="34" ht="22" customHeight="1"/>
    <row r="35" ht="22" customHeight="1"/>
    <row r="36" ht="22" customHeight="1"/>
    <row r="37" ht="22" customHeight="1"/>
    <row r="38" ht="22" customHeight="1"/>
    <row r="39" ht="22" customHeight="1"/>
    <row r="40" ht="22" customHeight="1"/>
    <row r="41" ht="22" customHeight="1"/>
    <row r="42" ht="22" customHeight="1"/>
    <row r="43" ht="22" customHeight="1"/>
    <row r="44" ht="22" customHeight="1"/>
    <row r="45" ht="22" customHeight="1"/>
    <row r="46" ht="22" customHeight="1"/>
    <row r="47" ht="22" customHeight="1"/>
    <row r="48" ht="22" customHeight="1"/>
    <row r="49" ht="22" customHeight="1"/>
    <row r="50" ht="22" customHeight="1"/>
    <row r="51" ht="22" customHeight="1"/>
    <row r="52" ht="22" customHeight="1"/>
    <row r="53" ht="22" customHeight="1"/>
    <row r="54" ht="22" customHeight="1"/>
  </sheetData>
  <mergeCells count="22">
    <mergeCell ref="B7:C7"/>
    <mergeCell ref="E5:F5"/>
    <mergeCell ref="B1:J1"/>
    <mergeCell ref="H4:I4"/>
    <mergeCell ref="E8:F8"/>
    <mergeCell ref="E4:F4"/>
    <mergeCell ref="H6:I6"/>
    <mergeCell ref="B10:J10"/>
    <mergeCell ref="G12:J12"/>
    <mergeCell ref="B8:C8"/>
    <mergeCell ref="E6:F6"/>
    <mergeCell ref="B12:E12"/>
    <mergeCell ref="H7:I7"/>
    <mergeCell ref="E25:J27"/>
    <mergeCell ref="B25:D27"/>
    <mergeCell ref="B6:C6"/>
    <mergeCell ref="E7:F7"/>
    <mergeCell ref="B5:C5"/>
    <mergeCell ref="H5:I5"/>
    <mergeCell ref="H8:I8"/>
    <mergeCell ref="B4:C4"/>
    <mergeCell ref="B2:J2"/>
  </mergeCells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2026-03-05T19:53:33Z</dcterms:created>
  <dcterms:modified xsi:type="dcterms:W3CDTF">2026-03-05T19:53:33Z</dcterms:modified>
</cp:coreProperties>
</file>